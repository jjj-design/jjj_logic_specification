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eno\Desktop\git-jjj\0108a\jjj_logic_specification\"/>
    </mc:Choice>
  </mc:AlternateContent>
  <xr:revisionPtr revIDLastSave="0" documentId="13_ncr:1_{B9978576-84CF-4D25-83E7-1409047AE568}" xr6:coauthVersionLast="45" xr6:coauthVersionMax="45" xr10:uidLastSave="{00000000-0000-0000-0000-000000000000}"/>
  <bookViews>
    <workbookView xWindow="-120" yWindow="-120" windowWidth="29040" windowHeight="15840" tabRatio="836" xr2:uid="{00000000-000D-0000-FFFF-FFFF00000000}"/>
  </bookViews>
  <sheets>
    <sheet name="UI" sheetId="3" r:id="rId1"/>
    <sheet name="buff" sheetId="1" r:id="rId2"/>
    <sheet name="DB_4平" sheetId="5" r:id="rId3"/>
    <sheet name="DB_4休在" sheetId="6" r:id="rId4"/>
    <sheet name="DB_4休外" sheetId="7" r:id="rId5"/>
    <sheet name="DB_3平" sheetId="8" r:id="rId6"/>
    <sheet name="DB_3休在" sheetId="9" r:id="rId7"/>
    <sheet name="DB_3休外" sheetId="10" r:id="rId8"/>
    <sheet name="DB_2平" sheetId="11" r:id="rId9"/>
    <sheet name="DB_2休在" sheetId="12" r:id="rId10"/>
    <sheet name="DB_2休外" sheetId="13" r:id="rId11"/>
    <sheet name="DB_1平" sheetId="14" r:id="rId12"/>
    <sheet name="DB_1休在" sheetId="15" r:id="rId13"/>
    <sheet name="DB_1休外" sheetId="16" r:id="rId14"/>
  </sheets>
  <definedNames>
    <definedName name="_column_heijitsu_hourly_mode_0">UI!$CB$10:$CB$33</definedName>
    <definedName name="_column_heijitsu_hourly_mode_1">UI!$CI$10:$CI$33</definedName>
    <definedName name="_column_heijitsu_hourly_mode_2">UI!$CP$10:$CP$33</definedName>
    <definedName name="_column_heijitsu_hourly_mode_3">UI!$CW$10:$CW$33</definedName>
    <definedName name="_column_kyuujitsuGaishutsu_hourly_mode_0">UI!$CD$10:$CD$33</definedName>
    <definedName name="_column_kyuujitsuGaishutsu_hourly_mode_1">UI!$CK$10:$CK$33</definedName>
    <definedName name="_column_kyuujitsuGaishutsu_hourly_mode_2">UI!$CR$10:$CR$33</definedName>
    <definedName name="_column_kyuujitsuGaishutsu_hourly_mode_3">UI!$CY$10:$CY$33</definedName>
    <definedName name="_column_kyuujitsuZaitaku_hourly_mode_0">UI!$CC$10:$CC$33</definedName>
    <definedName name="_column_kyuujitsuZaitaku_hourly_mode_1">UI!$CJ$10:$CJ$33</definedName>
    <definedName name="_column_kyuujitsuZaitaku_hourly_mode_2">UI!$CQ$10:$CQ$33</definedName>
    <definedName name="_column_kyuujitsuZaitaku_hourly_mode_3">UI!$CX$10:$CX$33</definedName>
    <definedName name="_homeApplicance_ID">UI!$AB$9</definedName>
    <definedName name="_homeApplicance_Name">UI!$AB$15</definedName>
    <definedName name="_number_of_people">UI!$AB$10</definedName>
    <definedName name="_operationName_1">UI!$AB$21</definedName>
    <definedName name="_operationName_2">UI!$AB$22</definedName>
    <definedName name="_operationName_3">UI!$AB$23</definedName>
    <definedName name="_operationName_4">UI!$AB$24</definedName>
    <definedName name="_operationName_of_mode_0">UI!$AB$26</definedName>
    <definedName name="_operationName_of_mode_1">UI!$AB$27</definedName>
    <definedName name="_operationName_of_mode_2">UI!$AB$28</definedName>
    <definedName name="_operationName_of_mode_3">UI!$AB$29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29" i="3" l="1"/>
  <c r="AB28" i="3"/>
  <c r="AB27" i="3"/>
  <c r="AB26" i="3"/>
  <c r="AB24" i="3"/>
  <c r="AB23" i="3"/>
  <c r="AB22" i="3"/>
  <c r="AB21" i="3"/>
  <c r="AB15" i="3"/>
  <c r="AB16" i="3"/>
  <c r="AB17" i="3"/>
  <c r="AB18" i="3"/>
  <c r="BT11" i="3"/>
  <c r="BT12" i="3" s="1"/>
  <c r="BT13" i="3" s="1"/>
  <c r="BT14" i="3" s="1"/>
  <c r="BT15" i="3" s="1"/>
  <c r="BT16" i="3" s="1"/>
  <c r="BT17" i="3" s="1"/>
  <c r="BT18" i="3" s="1"/>
  <c r="BT19" i="3" s="1"/>
  <c r="BT20" i="3" s="1"/>
  <c r="BT21" i="3" s="1"/>
  <c r="BT22" i="3" s="1"/>
  <c r="BT23" i="3" s="1"/>
  <c r="BT24" i="3" s="1"/>
  <c r="BT25" i="3" s="1"/>
  <c r="BT26" i="3" s="1"/>
  <c r="BT27" i="3" s="1"/>
  <c r="BT28" i="3" s="1"/>
  <c r="BT29" i="3" s="1"/>
  <c r="BT30" i="3" s="1"/>
  <c r="BT31" i="3" s="1"/>
  <c r="BT32" i="3" s="1"/>
  <c r="BT33" i="3" s="1"/>
  <c r="BT34" i="3" s="1"/>
  <c r="BT35" i="3" s="1"/>
  <c r="BT36" i="3" s="1"/>
  <c r="BT37" i="3" s="1"/>
  <c r="BT38" i="3" s="1"/>
  <c r="BT39" i="3" s="1"/>
  <c r="BT40" i="3" s="1"/>
  <c r="BT41" i="3" s="1"/>
  <c r="BT42" i="3" s="1"/>
  <c r="BT43" i="3" s="1"/>
  <c r="BT44" i="3" s="1"/>
  <c r="BT45" i="3" s="1"/>
  <c r="BT46" i="3" s="1"/>
  <c r="BT47" i="3" s="1"/>
  <c r="BT48" i="3" s="1"/>
  <c r="BT49" i="3" s="1"/>
  <c r="BT50" i="3" s="1"/>
  <c r="BT51" i="3" s="1"/>
  <c r="BT52" i="3" s="1"/>
  <c r="BT53" i="3" s="1"/>
  <c r="BT54" i="3" s="1"/>
  <c r="BT55" i="3" s="1"/>
  <c r="BT56" i="3" s="1"/>
  <c r="BT57" i="3" s="1"/>
  <c r="BT58" i="3" s="1"/>
  <c r="BT59" i="3" s="1"/>
  <c r="BT60" i="3" s="1"/>
  <c r="BT61" i="3" s="1"/>
  <c r="BT62" i="3" s="1"/>
  <c r="BT63" i="3" s="1"/>
  <c r="BT64" i="3" s="1"/>
  <c r="BT65" i="3" s="1"/>
  <c r="BT66" i="3" s="1"/>
  <c r="BT67" i="3" s="1"/>
  <c r="BT68" i="3" s="1"/>
  <c r="BT69" i="3" s="1"/>
  <c r="BT70" i="3" s="1"/>
  <c r="BT71" i="3" s="1"/>
  <c r="BT72" i="3" s="1"/>
  <c r="BT73" i="3" s="1"/>
  <c r="BT74" i="3" s="1"/>
  <c r="BT75" i="3" s="1"/>
  <c r="BT76" i="3" s="1"/>
  <c r="BT77" i="3" s="1"/>
  <c r="BT78" i="3" s="1"/>
  <c r="BT79" i="3" s="1"/>
  <c r="BT80" i="3" s="1"/>
  <c r="BT81" i="3" s="1"/>
  <c r="BT82" i="3" s="1"/>
  <c r="BT83" i="3" s="1"/>
  <c r="BT84" i="3" s="1"/>
  <c r="BT85" i="3" s="1"/>
  <c r="BT86" i="3" s="1"/>
  <c r="BT87" i="3" s="1"/>
  <c r="BT88" i="3" s="1"/>
  <c r="BT89" i="3" s="1"/>
  <c r="BT90" i="3" s="1"/>
  <c r="BT91" i="3" s="1"/>
  <c r="BT92" i="3" s="1"/>
  <c r="BT93" i="3" s="1"/>
  <c r="BT94" i="3" s="1"/>
  <c r="BT95" i="3" s="1"/>
  <c r="BT96" i="3" s="1"/>
  <c r="BT97" i="3" s="1"/>
  <c r="BT98" i="3" s="1"/>
  <c r="BT99" i="3" s="1"/>
  <c r="BT100" i="3" s="1"/>
  <c r="BT101" i="3" s="1"/>
  <c r="BT102" i="3" s="1"/>
  <c r="BT103" i="3" s="1"/>
  <c r="BT104" i="3" s="1"/>
  <c r="BT105" i="3" s="1"/>
  <c r="BM11" i="3"/>
  <c r="BM12" i="3" s="1"/>
  <c r="BM13" i="3" s="1"/>
  <c r="BM14" i="3" s="1"/>
  <c r="BM15" i="3" s="1"/>
  <c r="BM16" i="3" s="1"/>
  <c r="BM17" i="3" s="1"/>
  <c r="BM18" i="3" s="1"/>
  <c r="BM19" i="3" s="1"/>
  <c r="BM20" i="3" s="1"/>
  <c r="BM21" i="3" s="1"/>
  <c r="BM22" i="3" s="1"/>
  <c r="BM23" i="3" s="1"/>
  <c r="BM24" i="3" s="1"/>
  <c r="BM25" i="3" s="1"/>
  <c r="BM26" i="3" s="1"/>
  <c r="BM27" i="3" s="1"/>
  <c r="BM28" i="3" s="1"/>
  <c r="BM29" i="3" s="1"/>
  <c r="BM30" i="3" s="1"/>
  <c r="BM31" i="3" s="1"/>
  <c r="BM32" i="3" s="1"/>
  <c r="BM33" i="3" s="1"/>
  <c r="BM34" i="3" s="1"/>
  <c r="BM35" i="3" s="1"/>
  <c r="BM36" i="3" s="1"/>
  <c r="BM37" i="3" s="1"/>
  <c r="BM38" i="3" s="1"/>
  <c r="BM39" i="3" s="1"/>
  <c r="BM40" i="3" s="1"/>
  <c r="BM41" i="3" s="1"/>
  <c r="BM42" i="3" s="1"/>
  <c r="BM43" i="3" s="1"/>
  <c r="BM44" i="3" s="1"/>
  <c r="BM45" i="3" s="1"/>
  <c r="BM46" i="3" s="1"/>
  <c r="BM47" i="3" s="1"/>
  <c r="BM48" i="3" s="1"/>
  <c r="BM49" i="3" s="1"/>
  <c r="BM50" i="3" s="1"/>
  <c r="BM51" i="3" s="1"/>
  <c r="BM52" i="3" s="1"/>
  <c r="BM53" i="3" s="1"/>
  <c r="BM54" i="3" s="1"/>
  <c r="BM55" i="3" s="1"/>
  <c r="BM56" i="3" s="1"/>
  <c r="BM57" i="3" s="1"/>
  <c r="BM58" i="3" s="1"/>
  <c r="BM59" i="3" s="1"/>
  <c r="BM60" i="3" s="1"/>
  <c r="BM61" i="3" s="1"/>
  <c r="BM62" i="3" s="1"/>
  <c r="BM63" i="3" s="1"/>
  <c r="BM64" i="3" s="1"/>
  <c r="BM65" i="3" s="1"/>
  <c r="BM66" i="3" s="1"/>
  <c r="BM67" i="3" s="1"/>
  <c r="BM68" i="3" s="1"/>
  <c r="BM69" i="3" s="1"/>
  <c r="BM70" i="3" s="1"/>
  <c r="BM71" i="3" s="1"/>
  <c r="BM72" i="3" s="1"/>
  <c r="BM73" i="3" s="1"/>
  <c r="BM74" i="3" s="1"/>
  <c r="BM75" i="3" s="1"/>
  <c r="BM76" i="3" s="1"/>
  <c r="BM77" i="3" s="1"/>
  <c r="BM78" i="3" s="1"/>
  <c r="BM79" i="3" s="1"/>
  <c r="BM80" i="3" s="1"/>
  <c r="BM81" i="3" s="1"/>
  <c r="BM82" i="3" s="1"/>
  <c r="BM83" i="3" s="1"/>
  <c r="BM84" i="3" s="1"/>
  <c r="BM85" i="3" s="1"/>
  <c r="BM86" i="3" s="1"/>
  <c r="BM87" i="3" s="1"/>
  <c r="BM88" i="3" s="1"/>
  <c r="BM89" i="3" s="1"/>
  <c r="BM90" i="3" s="1"/>
  <c r="BM91" i="3" s="1"/>
  <c r="BM92" i="3" s="1"/>
  <c r="BM93" i="3" s="1"/>
  <c r="BM94" i="3" s="1"/>
  <c r="BM95" i="3" s="1"/>
  <c r="BM96" i="3" s="1"/>
  <c r="BM97" i="3" s="1"/>
  <c r="BM98" i="3" s="1"/>
  <c r="BM99" i="3" s="1"/>
  <c r="BM100" i="3" s="1"/>
  <c r="BM101" i="3" s="1"/>
  <c r="BM102" i="3" s="1"/>
  <c r="BM103" i="3" s="1"/>
  <c r="BM104" i="3" s="1"/>
  <c r="BM105" i="3" s="1"/>
  <c r="BF11" i="3"/>
  <c r="BF12" i="3" s="1"/>
  <c r="BF13" i="3" s="1"/>
  <c r="BF14" i="3" s="1"/>
  <c r="BF15" i="3" s="1"/>
  <c r="BF16" i="3" s="1"/>
  <c r="BF17" i="3" s="1"/>
  <c r="BF18" i="3" s="1"/>
  <c r="BF19" i="3" s="1"/>
  <c r="BF20" i="3" s="1"/>
  <c r="BF21" i="3" s="1"/>
  <c r="BF22" i="3" s="1"/>
  <c r="BF23" i="3" s="1"/>
  <c r="BF24" i="3" s="1"/>
  <c r="BF25" i="3" s="1"/>
  <c r="BF26" i="3" s="1"/>
  <c r="BF27" i="3" s="1"/>
  <c r="BF28" i="3" s="1"/>
  <c r="BF29" i="3" s="1"/>
  <c r="BF30" i="3" s="1"/>
  <c r="BF31" i="3" s="1"/>
  <c r="BF32" i="3" s="1"/>
  <c r="BF33" i="3" s="1"/>
  <c r="BF34" i="3" s="1"/>
  <c r="BF35" i="3" s="1"/>
  <c r="BF36" i="3" s="1"/>
  <c r="BF37" i="3" s="1"/>
  <c r="BF38" i="3" s="1"/>
  <c r="BF39" i="3" s="1"/>
  <c r="BF40" i="3" s="1"/>
  <c r="BF41" i="3" s="1"/>
  <c r="BF42" i="3" s="1"/>
  <c r="BF43" i="3" s="1"/>
  <c r="BF44" i="3" s="1"/>
  <c r="BF45" i="3" s="1"/>
  <c r="BF46" i="3" s="1"/>
  <c r="BF47" i="3" s="1"/>
  <c r="BF48" i="3" s="1"/>
  <c r="BF49" i="3" s="1"/>
  <c r="BF50" i="3" s="1"/>
  <c r="BF51" i="3" s="1"/>
  <c r="BF52" i="3" s="1"/>
  <c r="BF53" i="3" s="1"/>
  <c r="BF54" i="3" s="1"/>
  <c r="BF55" i="3" s="1"/>
  <c r="BF56" i="3" s="1"/>
  <c r="BF57" i="3" s="1"/>
  <c r="BF58" i="3" s="1"/>
  <c r="BF59" i="3" s="1"/>
  <c r="BF60" i="3" s="1"/>
  <c r="BF61" i="3" s="1"/>
  <c r="BF62" i="3" s="1"/>
  <c r="BF63" i="3" s="1"/>
  <c r="BF64" i="3" s="1"/>
  <c r="BF65" i="3" s="1"/>
  <c r="BF66" i="3" s="1"/>
  <c r="BF67" i="3" s="1"/>
  <c r="BF68" i="3" s="1"/>
  <c r="BF69" i="3" s="1"/>
  <c r="BF70" i="3" s="1"/>
  <c r="BF71" i="3" s="1"/>
  <c r="BF72" i="3" s="1"/>
  <c r="BF73" i="3" s="1"/>
  <c r="BF74" i="3" s="1"/>
  <c r="BF75" i="3" s="1"/>
  <c r="BF76" i="3" s="1"/>
  <c r="BF77" i="3" s="1"/>
  <c r="BF78" i="3" s="1"/>
  <c r="BF79" i="3" s="1"/>
  <c r="BF80" i="3" s="1"/>
  <c r="BF81" i="3" s="1"/>
  <c r="BF82" i="3" s="1"/>
  <c r="BF83" i="3" s="1"/>
  <c r="BF84" i="3" s="1"/>
  <c r="BF85" i="3" s="1"/>
  <c r="BF86" i="3" s="1"/>
  <c r="BF87" i="3" s="1"/>
  <c r="BF88" i="3" s="1"/>
  <c r="BF89" i="3" s="1"/>
  <c r="BF90" i="3" s="1"/>
  <c r="BF91" i="3" s="1"/>
  <c r="BF92" i="3" s="1"/>
  <c r="BF93" i="3" s="1"/>
  <c r="BF94" i="3" s="1"/>
  <c r="BF95" i="3" s="1"/>
  <c r="BF96" i="3" s="1"/>
  <c r="BF97" i="3" s="1"/>
  <c r="BF98" i="3" s="1"/>
  <c r="BF99" i="3" s="1"/>
  <c r="BF100" i="3" s="1"/>
  <c r="BF101" i="3" s="1"/>
  <c r="BF102" i="3" s="1"/>
  <c r="BF103" i="3" s="1"/>
  <c r="BF104" i="3" s="1"/>
  <c r="BF105" i="3" s="1"/>
  <c r="AY11" i="3"/>
  <c r="AY12" i="3" s="1"/>
  <c r="AY13" i="3" s="1"/>
  <c r="AY14" i="3" s="1"/>
  <c r="AY15" i="3" s="1"/>
  <c r="AY16" i="3" s="1"/>
  <c r="AY17" i="3" s="1"/>
  <c r="AY18" i="3" s="1"/>
  <c r="AY19" i="3" s="1"/>
  <c r="AY20" i="3" s="1"/>
  <c r="AY21" i="3" s="1"/>
  <c r="AY22" i="3" s="1"/>
  <c r="AY23" i="3" s="1"/>
  <c r="AY24" i="3" s="1"/>
  <c r="AY25" i="3" s="1"/>
  <c r="AY26" i="3" s="1"/>
  <c r="AY27" i="3" s="1"/>
  <c r="AY28" i="3" s="1"/>
  <c r="AY29" i="3" s="1"/>
  <c r="AY30" i="3" s="1"/>
  <c r="AY31" i="3" s="1"/>
  <c r="AY32" i="3" s="1"/>
  <c r="AY33" i="3" s="1"/>
  <c r="AY34" i="3" s="1"/>
  <c r="AY35" i="3" s="1"/>
  <c r="AY36" i="3" s="1"/>
  <c r="AY37" i="3" s="1"/>
  <c r="AY38" i="3" s="1"/>
  <c r="AY39" i="3" s="1"/>
  <c r="AY40" i="3" s="1"/>
  <c r="AY41" i="3" s="1"/>
  <c r="AY42" i="3" s="1"/>
  <c r="AY43" i="3" s="1"/>
  <c r="AY44" i="3" s="1"/>
  <c r="AY45" i="3" s="1"/>
  <c r="AY46" i="3" s="1"/>
  <c r="AY47" i="3" s="1"/>
  <c r="AY48" i="3" s="1"/>
  <c r="AY49" i="3" s="1"/>
  <c r="AY50" i="3" s="1"/>
  <c r="AY51" i="3" s="1"/>
  <c r="AY52" i="3" s="1"/>
  <c r="AY53" i="3" s="1"/>
  <c r="AY54" i="3" s="1"/>
  <c r="AY55" i="3" s="1"/>
  <c r="AY56" i="3" s="1"/>
  <c r="AY57" i="3" s="1"/>
  <c r="AY58" i="3" s="1"/>
  <c r="AY59" i="3" s="1"/>
  <c r="AY60" i="3" s="1"/>
  <c r="AY61" i="3" s="1"/>
  <c r="AY62" i="3" s="1"/>
  <c r="AY63" i="3" s="1"/>
  <c r="AY64" i="3" s="1"/>
  <c r="AY65" i="3" s="1"/>
  <c r="AY66" i="3" s="1"/>
  <c r="AY67" i="3" s="1"/>
  <c r="AY68" i="3" s="1"/>
  <c r="AY69" i="3" s="1"/>
  <c r="AY70" i="3" s="1"/>
  <c r="AY71" i="3" s="1"/>
  <c r="AY72" i="3" s="1"/>
  <c r="AY73" i="3" s="1"/>
  <c r="AY74" i="3" s="1"/>
  <c r="AY75" i="3" s="1"/>
  <c r="AY76" i="3" s="1"/>
  <c r="AY77" i="3" s="1"/>
  <c r="AY78" i="3" s="1"/>
  <c r="AY79" i="3" s="1"/>
  <c r="AY80" i="3" s="1"/>
  <c r="AY81" i="3" s="1"/>
  <c r="AY82" i="3" s="1"/>
  <c r="AY83" i="3" s="1"/>
  <c r="AY84" i="3" s="1"/>
  <c r="AY85" i="3" s="1"/>
  <c r="AY86" i="3" s="1"/>
  <c r="AY87" i="3" s="1"/>
  <c r="AY88" i="3" s="1"/>
  <c r="AY89" i="3" s="1"/>
  <c r="AY90" i="3" s="1"/>
  <c r="AY91" i="3" s="1"/>
  <c r="AY92" i="3" s="1"/>
  <c r="AY93" i="3" s="1"/>
  <c r="AY94" i="3" s="1"/>
  <c r="AY95" i="3" s="1"/>
  <c r="AY96" i="3" s="1"/>
  <c r="AY97" i="3" s="1"/>
  <c r="AY98" i="3" s="1"/>
  <c r="AY99" i="3" s="1"/>
  <c r="AY100" i="3" s="1"/>
  <c r="AY101" i="3" s="1"/>
  <c r="AY102" i="3" s="1"/>
  <c r="AY103" i="3" s="1"/>
  <c r="AY104" i="3" s="1"/>
  <c r="AY105" i="3" s="1"/>
  <c r="AQ11" i="3"/>
  <c r="AQ12" i="3" s="1"/>
  <c r="AQ13" i="3" s="1"/>
  <c r="AQ14" i="3" s="1"/>
  <c r="AQ15" i="3" s="1"/>
  <c r="AQ16" i="3" s="1"/>
  <c r="AQ17" i="3" s="1"/>
  <c r="AQ18" i="3" s="1"/>
  <c r="AQ19" i="3" s="1"/>
  <c r="AQ20" i="3" s="1"/>
  <c r="AQ21" i="3" s="1"/>
  <c r="AQ22" i="3" s="1"/>
  <c r="AQ23" i="3" s="1"/>
  <c r="AQ24" i="3" s="1"/>
  <c r="AQ25" i="3" s="1"/>
  <c r="AQ26" i="3" s="1"/>
  <c r="AQ27" i="3" s="1"/>
  <c r="AQ28" i="3" s="1"/>
  <c r="AQ29" i="3" s="1"/>
  <c r="AQ30" i="3" s="1"/>
  <c r="AQ31" i="3" s="1"/>
  <c r="AQ32" i="3" s="1"/>
  <c r="AQ33" i="3" s="1"/>
  <c r="AQ34" i="3" s="1"/>
  <c r="AQ35" i="3" s="1"/>
  <c r="AQ36" i="3" s="1"/>
  <c r="AQ37" i="3" s="1"/>
  <c r="AQ38" i="3" s="1"/>
  <c r="AQ39" i="3" s="1"/>
  <c r="AQ40" i="3" s="1"/>
  <c r="AQ41" i="3" s="1"/>
  <c r="AQ42" i="3" s="1"/>
  <c r="AQ43" i="3" s="1"/>
  <c r="AQ44" i="3" s="1"/>
  <c r="AQ45" i="3" s="1"/>
  <c r="AQ46" i="3" s="1"/>
  <c r="AQ47" i="3" s="1"/>
  <c r="AQ48" i="3" s="1"/>
  <c r="AQ49" i="3" s="1"/>
  <c r="AQ50" i="3" s="1"/>
  <c r="AQ51" i="3" s="1"/>
  <c r="AQ52" i="3" s="1"/>
  <c r="AQ53" i="3" s="1"/>
  <c r="AQ54" i="3" s="1"/>
  <c r="AQ55" i="3" s="1"/>
  <c r="AQ56" i="3" s="1"/>
  <c r="AQ57" i="3" s="1"/>
  <c r="AQ58" i="3" s="1"/>
  <c r="AQ59" i="3" s="1"/>
  <c r="AQ60" i="3" s="1"/>
  <c r="AQ61" i="3" s="1"/>
  <c r="AQ62" i="3" s="1"/>
  <c r="AQ63" i="3" s="1"/>
  <c r="AQ64" i="3" s="1"/>
  <c r="AQ65" i="3" s="1"/>
  <c r="AQ66" i="3" s="1"/>
  <c r="AQ67" i="3" s="1"/>
  <c r="AQ68" i="3" s="1"/>
  <c r="AQ69" i="3" s="1"/>
  <c r="AQ70" i="3" s="1"/>
  <c r="AQ71" i="3" s="1"/>
  <c r="AQ72" i="3" s="1"/>
  <c r="AQ73" i="3" s="1"/>
  <c r="AQ74" i="3" s="1"/>
  <c r="AQ75" i="3" s="1"/>
  <c r="AQ76" i="3" s="1"/>
  <c r="AQ77" i="3" s="1"/>
  <c r="AQ78" i="3" s="1"/>
  <c r="AQ79" i="3" s="1"/>
  <c r="AQ80" i="3" s="1"/>
  <c r="AQ81" i="3" s="1"/>
  <c r="AQ82" i="3" s="1"/>
  <c r="AQ83" i="3" s="1"/>
  <c r="AQ84" i="3" s="1"/>
  <c r="AQ85" i="3" s="1"/>
  <c r="AQ86" i="3" s="1"/>
  <c r="AQ87" i="3" s="1"/>
  <c r="AQ88" i="3" s="1"/>
  <c r="AQ89" i="3" s="1"/>
  <c r="AQ90" i="3" s="1"/>
  <c r="AQ91" i="3" s="1"/>
  <c r="AQ92" i="3" s="1"/>
  <c r="AQ93" i="3" s="1"/>
  <c r="AQ94" i="3" s="1"/>
  <c r="AQ95" i="3" s="1"/>
  <c r="AQ96" i="3" s="1"/>
  <c r="AQ97" i="3" s="1"/>
  <c r="AQ98" i="3" s="1"/>
  <c r="AQ99" i="3" s="1"/>
  <c r="AQ100" i="3" s="1"/>
  <c r="AQ101" i="3" s="1"/>
  <c r="AQ102" i="3" s="1"/>
  <c r="AQ103" i="3" s="1"/>
  <c r="AQ104" i="3" s="1"/>
  <c r="AQ105" i="3" s="1"/>
  <c r="AS17" i="3" a="1"/>
  <c r="AS16" i="3" a="1"/>
  <c r="AS15" i="3" a="1"/>
  <c r="AS14" i="3" a="1"/>
  <c r="AS13" i="3" a="1"/>
  <c r="AS12" i="3" a="1"/>
  <c r="AS11" i="3" a="1"/>
  <c r="AS10" i="3" a="1"/>
  <c r="AT105" i="3" a="1"/>
  <c r="AT104" i="3" a="1"/>
  <c r="AT103" i="3" a="1"/>
  <c r="AT102" i="3" a="1"/>
  <c r="AT101" i="3" a="1"/>
  <c r="AT100" i="3" a="1"/>
  <c r="AT99" i="3" a="1"/>
  <c r="AT98" i="3" a="1"/>
  <c r="AT97" i="3" a="1"/>
  <c r="AT96" i="3" a="1"/>
  <c r="AT95" i="3" a="1"/>
  <c r="AT94" i="3" a="1"/>
  <c r="AT93" i="3" a="1"/>
  <c r="AT92" i="3" a="1"/>
  <c r="AT91" i="3" a="1"/>
  <c r="AT90" i="3" a="1"/>
  <c r="AT89" i="3" a="1"/>
  <c r="AS105" i="3" a="1"/>
  <c r="AS101" i="3" a="1"/>
  <c r="AS97" i="3" a="1"/>
  <c r="AS93" i="3" a="1"/>
  <c r="AS89" i="3" a="1"/>
  <c r="AS87" i="3" a="1"/>
  <c r="AS85" i="3" a="1"/>
  <c r="AS83" i="3" a="1"/>
  <c r="AS81" i="3" a="1"/>
  <c r="AS79" i="3" a="1"/>
  <c r="AS77" i="3" a="1"/>
  <c r="AS75" i="3" a="1"/>
  <c r="AS73" i="3" a="1"/>
  <c r="AS71" i="3" a="1"/>
  <c r="AS69" i="3" a="1"/>
  <c r="AS67" i="3" a="1"/>
  <c r="AS65" i="3" a="1"/>
  <c r="AS63" i="3" a="1"/>
  <c r="AS61" i="3" a="1"/>
  <c r="AS59" i="3" a="1"/>
  <c r="AS57" i="3" a="1"/>
  <c r="AS55" i="3" a="1"/>
  <c r="AS53" i="3" a="1"/>
  <c r="AS51" i="3" a="1"/>
  <c r="AS49" i="3" a="1"/>
  <c r="AS47" i="3" a="1"/>
  <c r="AS45" i="3" a="1"/>
  <c r="AS43" i="3" a="1"/>
  <c r="AS41" i="3" a="1"/>
  <c r="AS39" i="3" a="1"/>
  <c r="AS37" i="3" a="1"/>
  <c r="AS35" i="3" a="1"/>
  <c r="AS33" i="3" a="1"/>
  <c r="AS31" i="3" a="1"/>
  <c r="AS29" i="3" a="1"/>
  <c r="AS27" i="3" a="1"/>
  <c r="AS25" i="3" a="1"/>
  <c r="AS23" i="3" a="1"/>
  <c r="AS21" i="3" a="1"/>
  <c r="AS20" i="3" a="1"/>
  <c r="AS19" i="3" a="1"/>
  <c r="AS18" i="3" a="1"/>
  <c r="AT85" i="3" a="1"/>
  <c r="AT67" i="3" a="1"/>
  <c r="AT59" i="3" a="1"/>
  <c r="AT53" i="3" a="1"/>
  <c r="AT49" i="3" a="1"/>
  <c r="AT43" i="3" a="1"/>
  <c r="AT37" i="3" a="1"/>
  <c r="AT33" i="3" a="1"/>
  <c r="AT27" i="3" a="1"/>
  <c r="AT21" i="3" a="1"/>
  <c r="AS104" i="3" a="1"/>
  <c r="AS100" i="3" a="1"/>
  <c r="AS96" i="3" a="1"/>
  <c r="AS92" i="3" a="1"/>
  <c r="AT88" i="3" a="1"/>
  <c r="AT86" i="3" a="1"/>
  <c r="AT84" i="3" a="1"/>
  <c r="AT82" i="3" a="1"/>
  <c r="AT80" i="3" a="1"/>
  <c r="AT78" i="3" a="1"/>
  <c r="AT76" i="3" a="1"/>
  <c r="AT74" i="3" a="1"/>
  <c r="AT72" i="3" a="1"/>
  <c r="AT70" i="3" a="1"/>
  <c r="AT68" i="3" a="1"/>
  <c r="AT66" i="3" a="1"/>
  <c r="AT64" i="3" a="1"/>
  <c r="AT62" i="3" a="1"/>
  <c r="AT60" i="3" a="1"/>
  <c r="AT58" i="3" a="1"/>
  <c r="AT56" i="3" a="1"/>
  <c r="AT54" i="3" a="1"/>
  <c r="AT52" i="3" a="1"/>
  <c r="AT50" i="3" a="1"/>
  <c r="AT48" i="3" a="1"/>
  <c r="AT46" i="3" a="1"/>
  <c r="AT44" i="3" a="1"/>
  <c r="AT42" i="3" a="1"/>
  <c r="AT40" i="3" a="1"/>
  <c r="AT38" i="3" a="1"/>
  <c r="AT36" i="3" a="1"/>
  <c r="AT34" i="3" a="1"/>
  <c r="AT32" i="3" a="1"/>
  <c r="AT30" i="3" a="1"/>
  <c r="AT28" i="3" a="1"/>
  <c r="AT26" i="3" a="1"/>
  <c r="AT24" i="3" a="1"/>
  <c r="AT22" i="3" a="1"/>
  <c r="AT15" i="3" a="1"/>
  <c r="AT13" i="3" a="1"/>
  <c r="AT11" i="3" a="1"/>
  <c r="AS102" i="3" a="1"/>
  <c r="AS94" i="3" a="1"/>
  <c r="AS90" i="3" a="1"/>
  <c r="AT83" i="3" a="1"/>
  <c r="AT79" i="3" a="1"/>
  <c r="AT75" i="3" a="1"/>
  <c r="AT69" i="3" a="1"/>
  <c r="AT63" i="3" a="1"/>
  <c r="AT57" i="3" a="1"/>
  <c r="AT51" i="3" a="1"/>
  <c r="AT45" i="3" a="1"/>
  <c r="AT39" i="3" a="1"/>
  <c r="AT31" i="3" a="1"/>
  <c r="AT25" i="3" a="1"/>
  <c r="AS103" i="3" a="1"/>
  <c r="AS99" i="3" a="1"/>
  <c r="AS95" i="3" a="1"/>
  <c r="AS91" i="3" a="1"/>
  <c r="AS88" i="3" a="1"/>
  <c r="AS86" i="3" a="1"/>
  <c r="AS84" i="3" a="1"/>
  <c r="AS82" i="3" a="1"/>
  <c r="AS80" i="3" a="1"/>
  <c r="AS78" i="3" a="1"/>
  <c r="AS76" i="3" a="1"/>
  <c r="AS74" i="3" a="1"/>
  <c r="AS72" i="3" a="1"/>
  <c r="AS70" i="3" a="1"/>
  <c r="AS68" i="3" a="1"/>
  <c r="AS66" i="3" a="1"/>
  <c r="AS64" i="3" a="1"/>
  <c r="AS62" i="3" a="1"/>
  <c r="AS60" i="3" a="1"/>
  <c r="AS58" i="3" a="1"/>
  <c r="AS56" i="3" a="1"/>
  <c r="AS54" i="3" a="1"/>
  <c r="AS52" i="3" a="1"/>
  <c r="AS50" i="3" a="1"/>
  <c r="AS48" i="3" a="1"/>
  <c r="AS46" i="3" a="1"/>
  <c r="AS44" i="3" a="1"/>
  <c r="AS42" i="3" a="1"/>
  <c r="AS40" i="3" a="1"/>
  <c r="AS38" i="3" a="1"/>
  <c r="AS36" i="3" a="1"/>
  <c r="AS34" i="3" a="1"/>
  <c r="AS32" i="3" a="1"/>
  <c r="AS30" i="3" a="1"/>
  <c r="AS28" i="3" a="1"/>
  <c r="AS26" i="3" a="1"/>
  <c r="AS24" i="3" a="1"/>
  <c r="AS22" i="3" a="1"/>
  <c r="AT20" i="3" a="1"/>
  <c r="AT19" i="3" a="1"/>
  <c r="AT18" i="3" a="1"/>
  <c r="AT17" i="3" a="1"/>
  <c r="AT16" i="3" a="1"/>
  <c r="AT14" i="3" a="1"/>
  <c r="AT12" i="3" a="1"/>
  <c r="AS98" i="3" a="1"/>
  <c r="AT87" i="3" a="1"/>
  <c r="AT81" i="3" a="1"/>
  <c r="AT77" i="3" a="1"/>
  <c r="AT73" i="3" a="1"/>
  <c r="AT71" i="3" a="1"/>
  <c r="AT65" i="3" a="1"/>
  <c r="AT61" i="3" a="1"/>
  <c r="AT55" i="3" a="1"/>
  <c r="AT47" i="3" a="1"/>
  <c r="AT41" i="3" a="1"/>
  <c r="AT35" i="3" a="1"/>
  <c r="AT29" i="3" a="1"/>
  <c r="AT23" i="3" a="1"/>
  <c r="AT10" i="3" a="1"/>
  <c r="AR103" i="3" a="1"/>
  <c r="AR99" i="3" a="1"/>
  <c r="AR97" i="3" a="1"/>
  <c r="AR93" i="3" a="1"/>
  <c r="AR89" i="3" a="1"/>
  <c r="AR85" i="3" a="1"/>
  <c r="AR83" i="3" a="1"/>
  <c r="AR79" i="3" a="1"/>
  <c r="AR75" i="3" a="1"/>
  <c r="AR71" i="3" a="1"/>
  <c r="AR67" i="3" a="1"/>
  <c r="AR63" i="3" a="1"/>
  <c r="AR61" i="3" a="1"/>
  <c r="AR57" i="3" a="1"/>
  <c r="AR53" i="3" a="1"/>
  <c r="AR51" i="3" a="1"/>
  <c r="AR47" i="3" a="1"/>
  <c r="AR43" i="3" a="1"/>
  <c r="AR39" i="3" a="1"/>
  <c r="AR35" i="3" a="1"/>
  <c r="AR33" i="3" a="1"/>
  <c r="AR29" i="3" a="1"/>
  <c r="AR25" i="3" a="1"/>
  <c r="AR21" i="3" a="1"/>
  <c r="AR15" i="3" a="1"/>
  <c r="AR105" i="3" a="1"/>
  <c r="AR101" i="3" a="1"/>
  <c r="AR95" i="3" a="1"/>
  <c r="AR91" i="3" a="1"/>
  <c r="AR87" i="3" a="1"/>
  <c r="AR81" i="3" a="1"/>
  <c r="AR77" i="3" a="1"/>
  <c r="AR73" i="3" a="1"/>
  <c r="AR69" i="3" a="1"/>
  <c r="AR65" i="3" a="1"/>
  <c r="AR59" i="3" a="1"/>
  <c r="AR55" i="3" a="1"/>
  <c r="AR49" i="3" a="1"/>
  <c r="AR45" i="3" a="1"/>
  <c r="AR41" i="3" a="1"/>
  <c r="AR37" i="3" a="1"/>
  <c r="AR31" i="3" a="1"/>
  <c r="AR27" i="3" a="1"/>
  <c r="AR19" i="3" a="1"/>
  <c r="AR11" i="3" a="1"/>
  <c r="AR104" i="3" a="1"/>
  <c r="AR102" i="3" a="1"/>
  <c r="AR100" i="3" a="1"/>
  <c r="AR98" i="3" a="1"/>
  <c r="AR96" i="3" a="1"/>
  <c r="AR94" i="3" a="1"/>
  <c r="AR92" i="3" a="1"/>
  <c r="AR90" i="3" a="1"/>
  <c r="AR88" i="3" a="1"/>
  <c r="AR86" i="3" a="1"/>
  <c r="AR84" i="3" a="1"/>
  <c r="AR82" i="3" a="1"/>
  <c r="AR80" i="3" a="1"/>
  <c r="AR78" i="3" a="1"/>
  <c r="AR76" i="3" a="1"/>
  <c r="AR74" i="3" a="1"/>
  <c r="AR72" i="3" a="1"/>
  <c r="AR70" i="3" a="1"/>
  <c r="AR68" i="3" a="1"/>
  <c r="AR66" i="3" a="1"/>
  <c r="AR64" i="3" a="1"/>
  <c r="AR62" i="3" a="1"/>
  <c r="AR60" i="3" a="1"/>
  <c r="AR58" i="3" a="1"/>
  <c r="AR56" i="3" a="1"/>
  <c r="AR54" i="3" a="1"/>
  <c r="AR52" i="3" a="1"/>
  <c r="AR50" i="3" a="1"/>
  <c r="AR48" i="3" a="1"/>
  <c r="AR46" i="3" a="1"/>
  <c r="AR44" i="3" a="1"/>
  <c r="AR42" i="3" a="1"/>
  <c r="AR40" i="3" a="1"/>
  <c r="AR38" i="3" a="1"/>
  <c r="AR36" i="3" a="1"/>
  <c r="AR34" i="3" a="1"/>
  <c r="AR32" i="3" a="1"/>
  <c r="AR30" i="3" a="1"/>
  <c r="AR28" i="3" a="1"/>
  <c r="AR26" i="3" a="1"/>
  <c r="AR24" i="3" a="1"/>
  <c r="AR22" i="3" a="1"/>
  <c r="AR20" i="3" a="1"/>
  <c r="AR18" i="3" a="1"/>
  <c r="AR16" i="3" a="1"/>
  <c r="AR14" i="3" a="1"/>
  <c r="AR12" i="3" a="1"/>
  <c r="AR23" i="3" a="1"/>
  <c r="AR17" i="3" a="1"/>
  <c r="AR13" i="3" a="1"/>
  <c r="AR10" i="3" a="1"/>
  <c r="AS17" i="3" l="1"/>
  <c r="AS16" i="3"/>
  <c r="AS15" i="3"/>
  <c r="AS14" i="3"/>
  <c r="AS13" i="3"/>
  <c r="AS12" i="3"/>
  <c r="AS11" i="3"/>
  <c r="AS10" i="3"/>
  <c r="AT23" i="3"/>
  <c r="AT29" i="3"/>
  <c r="AT35" i="3"/>
  <c r="AT41" i="3"/>
  <c r="AT47" i="3"/>
  <c r="AT55" i="3"/>
  <c r="AT61" i="3"/>
  <c r="AT65" i="3"/>
  <c r="AT71" i="3"/>
  <c r="AT73" i="3"/>
  <c r="AT77" i="3"/>
  <c r="AT81" i="3"/>
  <c r="AT87" i="3"/>
  <c r="AS98" i="3"/>
  <c r="AT12" i="3"/>
  <c r="AT14" i="3"/>
  <c r="AT16" i="3"/>
  <c r="AT17" i="3"/>
  <c r="AT18" i="3"/>
  <c r="AT19" i="3"/>
  <c r="AT20" i="3"/>
  <c r="AS22" i="3"/>
  <c r="AS24" i="3"/>
  <c r="AS26" i="3"/>
  <c r="AS28" i="3"/>
  <c r="AS30" i="3"/>
  <c r="AS32" i="3"/>
  <c r="AS34" i="3"/>
  <c r="AS36" i="3"/>
  <c r="AS38" i="3"/>
  <c r="AS40" i="3"/>
  <c r="AS42" i="3"/>
  <c r="AS44" i="3"/>
  <c r="AS46" i="3"/>
  <c r="AS48" i="3"/>
  <c r="AS50" i="3"/>
  <c r="AS52" i="3"/>
  <c r="AS54" i="3"/>
  <c r="AS56" i="3"/>
  <c r="AS58" i="3"/>
  <c r="AS60" i="3"/>
  <c r="AS62" i="3"/>
  <c r="AS64" i="3"/>
  <c r="AS66" i="3"/>
  <c r="AS68" i="3"/>
  <c r="AS70" i="3"/>
  <c r="AS72" i="3"/>
  <c r="AS74" i="3"/>
  <c r="AS76" i="3"/>
  <c r="AS78" i="3"/>
  <c r="AS80" i="3"/>
  <c r="AS82" i="3"/>
  <c r="AS84" i="3"/>
  <c r="AS86" i="3"/>
  <c r="AS88" i="3"/>
  <c r="AS91" i="3"/>
  <c r="AS95" i="3"/>
  <c r="AS99" i="3"/>
  <c r="AS103" i="3"/>
  <c r="AT25" i="3"/>
  <c r="AT31" i="3"/>
  <c r="AT39" i="3"/>
  <c r="AT45" i="3"/>
  <c r="AT51" i="3"/>
  <c r="AT57" i="3"/>
  <c r="AT63" i="3"/>
  <c r="AT69" i="3"/>
  <c r="AT75" i="3"/>
  <c r="AT79" i="3"/>
  <c r="AT83" i="3"/>
  <c r="AS90" i="3"/>
  <c r="AS94" i="3"/>
  <c r="AS102" i="3"/>
  <c r="AT11" i="3"/>
  <c r="AT13" i="3"/>
  <c r="AT15" i="3"/>
  <c r="AT22" i="3"/>
  <c r="AT24" i="3"/>
  <c r="AT26" i="3"/>
  <c r="AT28" i="3"/>
  <c r="AT30" i="3"/>
  <c r="AT32" i="3"/>
  <c r="AT34" i="3"/>
  <c r="AT36" i="3"/>
  <c r="AT38" i="3"/>
  <c r="AT40" i="3"/>
  <c r="AT42" i="3"/>
  <c r="AT44" i="3"/>
  <c r="AT46" i="3"/>
  <c r="AT48" i="3"/>
  <c r="AT50" i="3"/>
  <c r="AT52" i="3"/>
  <c r="AT54" i="3"/>
  <c r="AT56" i="3"/>
  <c r="AT58" i="3"/>
  <c r="AT60" i="3"/>
  <c r="AT62" i="3"/>
  <c r="AT64" i="3"/>
  <c r="AT66" i="3"/>
  <c r="AT68" i="3"/>
  <c r="AT70" i="3"/>
  <c r="AT72" i="3"/>
  <c r="AT74" i="3"/>
  <c r="AT76" i="3"/>
  <c r="AT78" i="3"/>
  <c r="AT80" i="3"/>
  <c r="AT82" i="3"/>
  <c r="AT84" i="3"/>
  <c r="AT86" i="3"/>
  <c r="AT88" i="3"/>
  <c r="AS92" i="3"/>
  <c r="AS96" i="3"/>
  <c r="AS100" i="3"/>
  <c r="AS104" i="3"/>
  <c r="AT21" i="3"/>
  <c r="AT27" i="3"/>
  <c r="AT33" i="3"/>
  <c r="AT37" i="3"/>
  <c r="AT43" i="3"/>
  <c r="AT49" i="3"/>
  <c r="AT53" i="3"/>
  <c r="AT59" i="3"/>
  <c r="AT67" i="3"/>
  <c r="AT85" i="3"/>
  <c r="AS18" i="3"/>
  <c r="AS19" i="3"/>
  <c r="AS20" i="3"/>
  <c r="AS21" i="3"/>
  <c r="AS23" i="3"/>
  <c r="AS25" i="3"/>
  <c r="AS27" i="3"/>
  <c r="AS29" i="3"/>
  <c r="AS31" i="3"/>
  <c r="AS33" i="3"/>
  <c r="AS35" i="3"/>
  <c r="AS37" i="3"/>
  <c r="AS39" i="3"/>
  <c r="AS41" i="3"/>
  <c r="AS43" i="3"/>
  <c r="AS45" i="3"/>
  <c r="AS47" i="3"/>
  <c r="AS49" i="3"/>
  <c r="AS51" i="3"/>
  <c r="AS53" i="3"/>
  <c r="AS55" i="3"/>
  <c r="AS57" i="3"/>
  <c r="AS59" i="3"/>
  <c r="AS61" i="3"/>
  <c r="AS63" i="3"/>
  <c r="AS65" i="3"/>
  <c r="AS67" i="3"/>
  <c r="AS69" i="3"/>
  <c r="AS71" i="3"/>
  <c r="AS73" i="3"/>
  <c r="AS75" i="3"/>
  <c r="AS77" i="3"/>
  <c r="AS79" i="3"/>
  <c r="AS81" i="3"/>
  <c r="AS83" i="3"/>
  <c r="AS85" i="3"/>
  <c r="AS87" i="3"/>
  <c r="AS89" i="3"/>
  <c r="AS93" i="3"/>
  <c r="AS97" i="3"/>
  <c r="AS101" i="3"/>
  <c r="AS105" i="3"/>
  <c r="AT89" i="3"/>
  <c r="AT90" i="3"/>
  <c r="AT91" i="3"/>
  <c r="AT92" i="3"/>
  <c r="AT93" i="3"/>
  <c r="AT94" i="3"/>
  <c r="AT95" i="3"/>
  <c r="AT96" i="3"/>
  <c r="AT97" i="3"/>
  <c r="AT98" i="3"/>
  <c r="AT99" i="3"/>
  <c r="AT100" i="3"/>
  <c r="AT101" i="3"/>
  <c r="AT102" i="3"/>
  <c r="AT103" i="3"/>
  <c r="AT104" i="3"/>
  <c r="AT105" i="3"/>
  <c r="AT10" i="3"/>
  <c r="AR13" i="3"/>
  <c r="AR17" i="3"/>
  <c r="AR23" i="3"/>
  <c r="AR12" i="3"/>
  <c r="AR14" i="3"/>
  <c r="AR16" i="3"/>
  <c r="AR18" i="3"/>
  <c r="AR20" i="3"/>
  <c r="AR22" i="3"/>
  <c r="AR24" i="3"/>
  <c r="AR26" i="3"/>
  <c r="AR28" i="3"/>
  <c r="AR30" i="3"/>
  <c r="AR32" i="3"/>
  <c r="AR34" i="3"/>
  <c r="AR36" i="3"/>
  <c r="AR38" i="3"/>
  <c r="AR40" i="3"/>
  <c r="AR42" i="3"/>
  <c r="AR44" i="3"/>
  <c r="AR46" i="3"/>
  <c r="AR48" i="3"/>
  <c r="AR50" i="3"/>
  <c r="AR52" i="3"/>
  <c r="AR54" i="3"/>
  <c r="AR56" i="3"/>
  <c r="AR58" i="3"/>
  <c r="AR60" i="3"/>
  <c r="AR62" i="3"/>
  <c r="AR64" i="3"/>
  <c r="AR66" i="3"/>
  <c r="AR68" i="3"/>
  <c r="AR70" i="3"/>
  <c r="AR72" i="3"/>
  <c r="AR74" i="3"/>
  <c r="AR76" i="3"/>
  <c r="AR78" i="3"/>
  <c r="AR80" i="3"/>
  <c r="AR82" i="3"/>
  <c r="AR84" i="3"/>
  <c r="AR86" i="3"/>
  <c r="AR88" i="3"/>
  <c r="AR90" i="3"/>
  <c r="AR92" i="3"/>
  <c r="AR94" i="3"/>
  <c r="AR96" i="3"/>
  <c r="AR98" i="3"/>
  <c r="AR100" i="3"/>
  <c r="AR102" i="3"/>
  <c r="AR104" i="3"/>
  <c r="AR11" i="3"/>
  <c r="AR19" i="3"/>
  <c r="AR27" i="3"/>
  <c r="AR31" i="3"/>
  <c r="AR37" i="3"/>
  <c r="AR41" i="3"/>
  <c r="AR45" i="3"/>
  <c r="AR49" i="3"/>
  <c r="AR55" i="3"/>
  <c r="AR59" i="3"/>
  <c r="AR65" i="3"/>
  <c r="AR69" i="3"/>
  <c r="AR73" i="3"/>
  <c r="AR77" i="3"/>
  <c r="AR81" i="3"/>
  <c r="AR87" i="3"/>
  <c r="AR91" i="3"/>
  <c r="AR95" i="3"/>
  <c r="AR101" i="3"/>
  <c r="AR105" i="3"/>
  <c r="AR15" i="3"/>
  <c r="AR21" i="3"/>
  <c r="AR25" i="3"/>
  <c r="AR29" i="3"/>
  <c r="AR33" i="3"/>
  <c r="AR35" i="3"/>
  <c r="AR39" i="3"/>
  <c r="AR43" i="3"/>
  <c r="AR47" i="3"/>
  <c r="AR51" i="3"/>
  <c r="AR53" i="3"/>
  <c r="AR57" i="3"/>
  <c r="AR61" i="3"/>
  <c r="AR63" i="3"/>
  <c r="AR67" i="3"/>
  <c r="AR71" i="3"/>
  <c r="AR75" i="3"/>
  <c r="AR79" i="3"/>
  <c r="AR83" i="3"/>
  <c r="AR85" i="3"/>
  <c r="AR89" i="3"/>
  <c r="AR93" i="3"/>
  <c r="AR97" i="3"/>
  <c r="AR99" i="3"/>
  <c r="AR103" i="3"/>
  <c r="AR10" i="3"/>
  <c r="BU75" i="3" l="1"/>
  <c r="BU33" i="3"/>
  <c r="BU91" i="3"/>
  <c r="BU73" i="3"/>
  <c r="BU55" i="3"/>
  <c r="BU11" i="3"/>
  <c r="BU98" i="3"/>
  <c r="BU90" i="3"/>
  <c r="BU82" i="3"/>
  <c r="BU74" i="3"/>
  <c r="BU66" i="3"/>
  <c r="BU58" i="3"/>
  <c r="BU50" i="3"/>
  <c r="BU42" i="3"/>
  <c r="BU34" i="3"/>
  <c r="BU26" i="3"/>
  <c r="BU23" i="3"/>
  <c r="BW105" i="3"/>
  <c r="BW101" i="3"/>
  <c r="BW97" i="3"/>
  <c r="BW93" i="3"/>
  <c r="BW89" i="3"/>
  <c r="BV93" i="3"/>
  <c r="BV83" i="3"/>
  <c r="BV75" i="3"/>
  <c r="BV67" i="3"/>
  <c r="BV59" i="3"/>
  <c r="BV51" i="3"/>
  <c r="BV43" i="3"/>
  <c r="BV35" i="3"/>
  <c r="BV27" i="3"/>
  <c r="BV20" i="3"/>
  <c r="BW67" i="3"/>
  <c r="BW43" i="3"/>
  <c r="BW21" i="3"/>
  <c r="BV92" i="3"/>
  <c r="BW82" i="3"/>
  <c r="BW74" i="3"/>
  <c r="BW66" i="3"/>
  <c r="BW58" i="3"/>
  <c r="BW50" i="3"/>
  <c r="BW42" i="3"/>
  <c r="BW34" i="3"/>
  <c r="BW26" i="3"/>
  <c r="BW13" i="3"/>
  <c r="BV90" i="3"/>
  <c r="BW69" i="3"/>
  <c r="BW45" i="3"/>
  <c r="BV103" i="3"/>
  <c r="BV88" i="3"/>
  <c r="BV80" i="3"/>
  <c r="BV72" i="3"/>
  <c r="BV64" i="3"/>
  <c r="BV56" i="3"/>
  <c r="BV48" i="3"/>
  <c r="BV40" i="3"/>
  <c r="BV32" i="3"/>
  <c r="BV24" i="3"/>
  <c r="BW18" i="3"/>
  <c r="BW12" i="3"/>
  <c r="BW77" i="3"/>
  <c r="BW61" i="3"/>
  <c r="BW35" i="3"/>
  <c r="BV11" i="3"/>
  <c r="BV15" i="3"/>
  <c r="BU10" i="3"/>
  <c r="BU103" i="3"/>
  <c r="BU61" i="3"/>
  <c r="BU47" i="3"/>
  <c r="BU15" i="3"/>
  <c r="BU37" i="3"/>
  <c r="BU18" i="3"/>
  <c r="BU99" i="3"/>
  <c r="BU85" i="3"/>
  <c r="BU71" i="3"/>
  <c r="BU57" i="3"/>
  <c r="BU43" i="3"/>
  <c r="BU29" i="3"/>
  <c r="BU105" i="3"/>
  <c r="BU87" i="3"/>
  <c r="BU69" i="3"/>
  <c r="BU49" i="3"/>
  <c r="BU31" i="3"/>
  <c r="BU104" i="3"/>
  <c r="BU96" i="3"/>
  <c r="BU88" i="3"/>
  <c r="BU80" i="3"/>
  <c r="BU72" i="3"/>
  <c r="BU64" i="3"/>
  <c r="BU56" i="3"/>
  <c r="BU48" i="3"/>
  <c r="BU40" i="3"/>
  <c r="BU32" i="3"/>
  <c r="BU24" i="3"/>
  <c r="BU16" i="3"/>
  <c r="BU17" i="3"/>
  <c r="BW104" i="3"/>
  <c r="BW100" i="3"/>
  <c r="BW96" i="3"/>
  <c r="BW92" i="3"/>
  <c r="BV105" i="3"/>
  <c r="BV89" i="3"/>
  <c r="BV81" i="3"/>
  <c r="BV73" i="3"/>
  <c r="BV65" i="3"/>
  <c r="BV57" i="3"/>
  <c r="BV49" i="3"/>
  <c r="BV41" i="3"/>
  <c r="BV33" i="3"/>
  <c r="BV25" i="3"/>
  <c r="BV19" i="3"/>
  <c r="BW59" i="3"/>
  <c r="BW37" i="3"/>
  <c r="BV104" i="3"/>
  <c r="BW88" i="3"/>
  <c r="BW80" i="3"/>
  <c r="BW72" i="3"/>
  <c r="BW64" i="3"/>
  <c r="BW56" i="3"/>
  <c r="BW48" i="3"/>
  <c r="BW40" i="3"/>
  <c r="BW32" i="3"/>
  <c r="BW24" i="3"/>
  <c r="BW11" i="3"/>
  <c r="BW83" i="3"/>
  <c r="BW63" i="3"/>
  <c r="BW39" i="3"/>
  <c r="BV99" i="3"/>
  <c r="BV86" i="3"/>
  <c r="BV78" i="3"/>
  <c r="BV70" i="3"/>
  <c r="BV62" i="3"/>
  <c r="BV54" i="3"/>
  <c r="BV46" i="3"/>
  <c r="BV38" i="3"/>
  <c r="BV30" i="3"/>
  <c r="BV22" i="3"/>
  <c r="BW17" i="3"/>
  <c r="BV98" i="3"/>
  <c r="BW73" i="3"/>
  <c r="BW55" i="3"/>
  <c r="BW29" i="3"/>
  <c r="BV12" i="3"/>
  <c r="BV16" i="3"/>
  <c r="BU93" i="3"/>
  <c r="BU89" i="3"/>
  <c r="BU97" i="3"/>
  <c r="BU83" i="3"/>
  <c r="BU67" i="3"/>
  <c r="BU53" i="3"/>
  <c r="BU39" i="3"/>
  <c r="BU25" i="3"/>
  <c r="BU101" i="3"/>
  <c r="BU81" i="3"/>
  <c r="BU65" i="3"/>
  <c r="BU45" i="3"/>
  <c r="BU27" i="3"/>
  <c r="BU102" i="3"/>
  <c r="BU94" i="3"/>
  <c r="BU86" i="3"/>
  <c r="BU78" i="3"/>
  <c r="BU70" i="3"/>
  <c r="BU62" i="3"/>
  <c r="BU54" i="3"/>
  <c r="BU46" i="3"/>
  <c r="BU38" i="3"/>
  <c r="BU30" i="3"/>
  <c r="BU22" i="3"/>
  <c r="BU14" i="3"/>
  <c r="BU13" i="3"/>
  <c r="BW103" i="3"/>
  <c r="BW99" i="3"/>
  <c r="BW95" i="3"/>
  <c r="BW91" i="3"/>
  <c r="BV101" i="3"/>
  <c r="BV87" i="3"/>
  <c r="BV79" i="3"/>
  <c r="BV71" i="3"/>
  <c r="BV63" i="3"/>
  <c r="BV55" i="3"/>
  <c r="BV47" i="3"/>
  <c r="BV39" i="3"/>
  <c r="BV31" i="3"/>
  <c r="BV23" i="3"/>
  <c r="BV18" i="3"/>
  <c r="BW53" i="3"/>
  <c r="BW33" i="3"/>
  <c r="BV100" i="3"/>
  <c r="BW86" i="3"/>
  <c r="BW78" i="3"/>
  <c r="BW70" i="3"/>
  <c r="BW62" i="3"/>
  <c r="BW54" i="3"/>
  <c r="BW46" i="3"/>
  <c r="BW38" i="3"/>
  <c r="BW30" i="3"/>
  <c r="BW22" i="3"/>
  <c r="BV102" i="3"/>
  <c r="BW79" i="3"/>
  <c r="BW57" i="3"/>
  <c r="BW31" i="3"/>
  <c r="BV95" i="3"/>
  <c r="BV84" i="3"/>
  <c r="BV76" i="3"/>
  <c r="BV68" i="3"/>
  <c r="BV60" i="3"/>
  <c r="BV52" i="3"/>
  <c r="BV44" i="3"/>
  <c r="BV36" i="3"/>
  <c r="BV28" i="3"/>
  <c r="BW20" i="3"/>
  <c r="BW16" i="3"/>
  <c r="BW87" i="3"/>
  <c r="BW71" i="3"/>
  <c r="BW47" i="3"/>
  <c r="BW23" i="3"/>
  <c r="BV13" i="3"/>
  <c r="BV17" i="3"/>
  <c r="BU79" i="3"/>
  <c r="BU63" i="3"/>
  <c r="BU51" i="3"/>
  <c r="BU35" i="3"/>
  <c r="BU21" i="3"/>
  <c r="BU95" i="3"/>
  <c r="BU77" i="3"/>
  <c r="BU59" i="3"/>
  <c r="BU41" i="3"/>
  <c r="BU19" i="3"/>
  <c r="BU100" i="3"/>
  <c r="BU92" i="3"/>
  <c r="BU84" i="3"/>
  <c r="BU76" i="3"/>
  <c r="BU68" i="3"/>
  <c r="BU60" i="3"/>
  <c r="BU52" i="3"/>
  <c r="BU44" i="3"/>
  <c r="BU36" i="3"/>
  <c r="BU28" i="3"/>
  <c r="BU20" i="3"/>
  <c r="BU12" i="3"/>
  <c r="BW10" i="3"/>
  <c r="BW102" i="3"/>
  <c r="BW98" i="3"/>
  <c r="BW94" i="3"/>
  <c r="BW90" i="3"/>
  <c r="BV97" i="3"/>
  <c r="BV85" i="3"/>
  <c r="BV77" i="3"/>
  <c r="BV69" i="3"/>
  <c r="BV61" i="3"/>
  <c r="BV53" i="3"/>
  <c r="BV45" i="3"/>
  <c r="BV37" i="3"/>
  <c r="BV29" i="3"/>
  <c r="BV21" i="3"/>
  <c r="BW85" i="3"/>
  <c r="BW49" i="3"/>
  <c r="BW27" i="3"/>
  <c r="BV96" i="3"/>
  <c r="BW84" i="3"/>
  <c r="BW76" i="3"/>
  <c r="BW68" i="3"/>
  <c r="BW60" i="3"/>
  <c r="BW52" i="3"/>
  <c r="BW44" i="3"/>
  <c r="BW36" i="3"/>
  <c r="BW28" i="3"/>
  <c r="BW15" i="3"/>
  <c r="BV94" i="3"/>
  <c r="BW75" i="3"/>
  <c r="BW51" i="3"/>
  <c r="BW25" i="3"/>
  <c r="BV91" i="3"/>
  <c r="BV82" i="3"/>
  <c r="BV74" i="3"/>
  <c r="BV66" i="3"/>
  <c r="BV58" i="3"/>
  <c r="BV50" i="3"/>
  <c r="BV42" i="3"/>
  <c r="BV34" i="3"/>
  <c r="BV26" i="3"/>
  <c r="BW19" i="3"/>
  <c r="BW14" i="3"/>
  <c r="BW81" i="3"/>
  <c r="BW65" i="3"/>
  <c r="BW41" i="3"/>
  <c r="BV10" i="3"/>
  <c r="BV14" i="3"/>
  <c r="BN61" i="3"/>
  <c r="BN91" i="3"/>
  <c r="BN73" i="3"/>
  <c r="BN37" i="3"/>
  <c r="BN11" i="3"/>
  <c r="BN98" i="3"/>
  <c r="BN90" i="3"/>
  <c r="BN82" i="3"/>
  <c r="BN74" i="3"/>
  <c r="BN66" i="3"/>
  <c r="BN58" i="3"/>
  <c r="BN50" i="3"/>
  <c r="BN42" i="3"/>
  <c r="BN34" i="3"/>
  <c r="BN26" i="3"/>
  <c r="BN18" i="3"/>
  <c r="BN23" i="3"/>
  <c r="BP105" i="3"/>
  <c r="BP101" i="3"/>
  <c r="BP97" i="3"/>
  <c r="BP93" i="3"/>
  <c r="BP89" i="3"/>
  <c r="BO93" i="3"/>
  <c r="BO83" i="3"/>
  <c r="BO75" i="3"/>
  <c r="BO67" i="3"/>
  <c r="BO59" i="3"/>
  <c r="BO51" i="3"/>
  <c r="BO43" i="3"/>
  <c r="BO35" i="3"/>
  <c r="BO27" i="3"/>
  <c r="BO20" i="3"/>
  <c r="BP67" i="3"/>
  <c r="BP43" i="3"/>
  <c r="BP21" i="3"/>
  <c r="BO92" i="3"/>
  <c r="BP82" i="3"/>
  <c r="BP74" i="3"/>
  <c r="BP66" i="3"/>
  <c r="BP58" i="3"/>
  <c r="BP50" i="3"/>
  <c r="BP42" i="3"/>
  <c r="BP34" i="3"/>
  <c r="BP26" i="3"/>
  <c r="BP13" i="3"/>
  <c r="BO90" i="3"/>
  <c r="BP69" i="3"/>
  <c r="BP45" i="3"/>
  <c r="BO103" i="3"/>
  <c r="BO88" i="3"/>
  <c r="BO80" i="3"/>
  <c r="BO72" i="3"/>
  <c r="BO64" i="3"/>
  <c r="BO56" i="3"/>
  <c r="BO48" i="3"/>
  <c r="BO40" i="3"/>
  <c r="BO32" i="3"/>
  <c r="BO24" i="3"/>
  <c r="BP18" i="3"/>
  <c r="BP12" i="3"/>
  <c r="BP77" i="3"/>
  <c r="BP61" i="3"/>
  <c r="BP35" i="3"/>
  <c r="BO11" i="3"/>
  <c r="BO15" i="3"/>
  <c r="BN89" i="3"/>
  <c r="BN47" i="3"/>
  <c r="BN33" i="3"/>
  <c r="BN15" i="3"/>
  <c r="BN55" i="3"/>
  <c r="BN99" i="3"/>
  <c r="BN85" i="3"/>
  <c r="BN71" i="3"/>
  <c r="BN57" i="3"/>
  <c r="BN43" i="3"/>
  <c r="BN29" i="3"/>
  <c r="BN105" i="3"/>
  <c r="BN87" i="3"/>
  <c r="BN69" i="3"/>
  <c r="BN49" i="3"/>
  <c r="BN31" i="3"/>
  <c r="BN104" i="3"/>
  <c r="BN96" i="3"/>
  <c r="BN88" i="3"/>
  <c r="BN80" i="3"/>
  <c r="BN72" i="3"/>
  <c r="BN64" i="3"/>
  <c r="BN56" i="3"/>
  <c r="BN48" i="3"/>
  <c r="BN40" i="3"/>
  <c r="BN32" i="3"/>
  <c r="BN24" i="3"/>
  <c r="BN16" i="3"/>
  <c r="BN17" i="3"/>
  <c r="BP104" i="3"/>
  <c r="BP100" i="3"/>
  <c r="BP96" i="3"/>
  <c r="BP92" i="3"/>
  <c r="BO105" i="3"/>
  <c r="BO89" i="3"/>
  <c r="BO81" i="3"/>
  <c r="BO73" i="3"/>
  <c r="BO65" i="3"/>
  <c r="BO57" i="3"/>
  <c r="BO49" i="3"/>
  <c r="BO41" i="3"/>
  <c r="BO33" i="3"/>
  <c r="BO25" i="3"/>
  <c r="BO19" i="3"/>
  <c r="BP59" i="3"/>
  <c r="BP37" i="3"/>
  <c r="BO104" i="3"/>
  <c r="BP88" i="3"/>
  <c r="BP80" i="3"/>
  <c r="BP72" i="3"/>
  <c r="BP64" i="3"/>
  <c r="BP56" i="3"/>
  <c r="BP48" i="3"/>
  <c r="BP40" i="3"/>
  <c r="BP32" i="3"/>
  <c r="BP24" i="3"/>
  <c r="BP11" i="3"/>
  <c r="BP83" i="3"/>
  <c r="BP63" i="3"/>
  <c r="BP39" i="3"/>
  <c r="BO99" i="3"/>
  <c r="BO86" i="3"/>
  <c r="BO78" i="3"/>
  <c r="BO70" i="3"/>
  <c r="BO62" i="3"/>
  <c r="BO54" i="3"/>
  <c r="BO46" i="3"/>
  <c r="BO38" i="3"/>
  <c r="BO30" i="3"/>
  <c r="BO22" i="3"/>
  <c r="BP17" i="3"/>
  <c r="BO98" i="3"/>
  <c r="BP73" i="3"/>
  <c r="BP55" i="3"/>
  <c r="BP29" i="3"/>
  <c r="BO12" i="3"/>
  <c r="BO16" i="3"/>
  <c r="BN75" i="3"/>
  <c r="BN83" i="3"/>
  <c r="BN53" i="3"/>
  <c r="BN25" i="3"/>
  <c r="BN81" i="3"/>
  <c r="BN45" i="3"/>
  <c r="BN27" i="3"/>
  <c r="BN102" i="3"/>
  <c r="BN86" i="3"/>
  <c r="BN78" i="3"/>
  <c r="BN70" i="3"/>
  <c r="BN62" i="3"/>
  <c r="BN54" i="3"/>
  <c r="BN46" i="3"/>
  <c r="BN38" i="3"/>
  <c r="BN30" i="3"/>
  <c r="BN14" i="3"/>
  <c r="BN13" i="3"/>
  <c r="BP103" i="3"/>
  <c r="BP99" i="3"/>
  <c r="BP95" i="3"/>
  <c r="BP91" i="3"/>
  <c r="BO101" i="3"/>
  <c r="BO87" i="3"/>
  <c r="BO79" i="3"/>
  <c r="BO71" i="3"/>
  <c r="BO63" i="3"/>
  <c r="BO55" i="3"/>
  <c r="BO47" i="3"/>
  <c r="BO39" i="3"/>
  <c r="BO31" i="3"/>
  <c r="BO23" i="3"/>
  <c r="BO18" i="3"/>
  <c r="BP53" i="3"/>
  <c r="BP33" i="3"/>
  <c r="BO100" i="3"/>
  <c r="BP86" i="3"/>
  <c r="BP78" i="3"/>
  <c r="BP70" i="3"/>
  <c r="BP62" i="3"/>
  <c r="BP54" i="3"/>
  <c r="BP46" i="3"/>
  <c r="BP38" i="3"/>
  <c r="BP30" i="3"/>
  <c r="BP22" i="3"/>
  <c r="BO102" i="3"/>
  <c r="BP79" i="3"/>
  <c r="BP57" i="3"/>
  <c r="BP31" i="3"/>
  <c r="BO95" i="3"/>
  <c r="BO84" i="3"/>
  <c r="BO76" i="3"/>
  <c r="BO68" i="3"/>
  <c r="BO60" i="3"/>
  <c r="BO52" i="3"/>
  <c r="BO44" i="3"/>
  <c r="BO36" i="3"/>
  <c r="BO28" i="3"/>
  <c r="BP20" i="3"/>
  <c r="BP16" i="3"/>
  <c r="BP87" i="3"/>
  <c r="BP71" i="3"/>
  <c r="BP47" i="3"/>
  <c r="BP23" i="3"/>
  <c r="BO13" i="3"/>
  <c r="BO17" i="3"/>
  <c r="BN103" i="3"/>
  <c r="BN97" i="3"/>
  <c r="BN67" i="3"/>
  <c r="BN39" i="3"/>
  <c r="BN101" i="3"/>
  <c r="BN65" i="3"/>
  <c r="BN94" i="3"/>
  <c r="BN22" i="3"/>
  <c r="BN10" i="3"/>
  <c r="BN93" i="3"/>
  <c r="BN79" i="3"/>
  <c r="BN63" i="3"/>
  <c r="BN51" i="3"/>
  <c r="BN35" i="3"/>
  <c r="BN21" i="3"/>
  <c r="BN95" i="3"/>
  <c r="BN77" i="3"/>
  <c r="BN59" i="3"/>
  <c r="BN41" i="3"/>
  <c r="BN19" i="3"/>
  <c r="BN100" i="3"/>
  <c r="BN92" i="3"/>
  <c r="BN84" i="3"/>
  <c r="BN76" i="3"/>
  <c r="BN68" i="3"/>
  <c r="BN60" i="3"/>
  <c r="BN52" i="3"/>
  <c r="BN44" i="3"/>
  <c r="BN36" i="3"/>
  <c r="BN28" i="3"/>
  <c r="BN20" i="3"/>
  <c r="BN12" i="3"/>
  <c r="BP10" i="3"/>
  <c r="BP102" i="3"/>
  <c r="BP98" i="3"/>
  <c r="BP94" i="3"/>
  <c r="BP90" i="3"/>
  <c r="BO97" i="3"/>
  <c r="BO85" i="3"/>
  <c r="BO77" i="3"/>
  <c r="BO69" i="3"/>
  <c r="BO61" i="3"/>
  <c r="BO53" i="3"/>
  <c r="BO45" i="3"/>
  <c r="BO37" i="3"/>
  <c r="BO29" i="3"/>
  <c r="BO21" i="3"/>
  <c r="BP85" i="3"/>
  <c r="BP49" i="3"/>
  <c r="BP27" i="3"/>
  <c r="BO96" i="3"/>
  <c r="BP84" i="3"/>
  <c r="BP76" i="3"/>
  <c r="BP68" i="3"/>
  <c r="BP60" i="3"/>
  <c r="BP52" i="3"/>
  <c r="BP44" i="3"/>
  <c r="BP36" i="3"/>
  <c r="BP28" i="3"/>
  <c r="BP15" i="3"/>
  <c r="BO94" i="3"/>
  <c r="BP75" i="3"/>
  <c r="BP51" i="3"/>
  <c r="BP25" i="3"/>
  <c r="BO91" i="3"/>
  <c r="BO82" i="3"/>
  <c r="BO74" i="3"/>
  <c r="BO66" i="3"/>
  <c r="BO58" i="3"/>
  <c r="BO50" i="3"/>
  <c r="BO42" i="3"/>
  <c r="BO34" i="3"/>
  <c r="BO26" i="3"/>
  <c r="BP19" i="3"/>
  <c r="BP14" i="3"/>
  <c r="BP81" i="3"/>
  <c r="BP65" i="3"/>
  <c r="BP41" i="3"/>
  <c r="BO10" i="3"/>
  <c r="BO14" i="3"/>
  <c r="BG89" i="3"/>
  <c r="BG75" i="3"/>
  <c r="BG61" i="3"/>
  <c r="BG47" i="3"/>
  <c r="BG33" i="3"/>
  <c r="BG91" i="3"/>
  <c r="BG73" i="3"/>
  <c r="BG55" i="3"/>
  <c r="BG37" i="3"/>
  <c r="BG98" i="3"/>
  <c r="BG82" i="3"/>
  <c r="BG74" i="3"/>
  <c r="BG66" i="3"/>
  <c r="BG50" i="3"/>
  <c r="BG42" i="3"/>
  <c r="BG34" i="3"/>
  <c r="BG26" i="3"/>
  <c r="BG18" i="3"/>
  <c r="BG23" i="3"/>
  <c r="BI101" i="3"/>
  <c r="BI97" i="3"/>
  <c r="BI89" i="3"/>
  <c r="BH75" i="3"/>
  <c r="BH59" i="3"/>
  <c r="BH51" i="3"/>
  <c r="BI67" i="3"/>
  <c r="BI21" i="3"/>
  <c r="BI82" i="3"/>
  <c r="BI74" i="3"/>
  <c r="BI58" i="3"/>
  <c r="BI34" i="3"/>
  <c r="BI26" i="3"/>
  <c r="BH90" i="3"/>
  <c r="BI69" i="3"/>
  <c r="BI45" i="3"/>
  <c r="BH103" i="3"/>
  <c r="BH80" i="3"/>
  <c r="BH56" i="3"/>
  <c r="BH40" i="3"/>
  <c r="BH32" i="3"/>
  <c r="BI18" i="3"/>
  <c r="BI12" i="3"/>
  <c r="BI61" i="3"/>
  <c r="BH15" i="3"/>
  <c r="BG99" i="3"/>
  <c r="BG85" i="3"/>
  <c r="BG71" i="3"/>
  <c r="BG43" i="3"/>
  <c r="BG29" i="3"/>
  <c r="BG87" i="3"/>
  <c r="BG31" i="3"/>
  <c r="BG96" i="3"/>
  <c r="BG80" i="3"/>
  <c r="BG56" i="3"/>
  <c r="BG24" i="3"/>
  <c r="BG17" i="3"/>
  <c r="BI100" i="3"/>
  <c r="BH89" i="3"/>
  <c r="BH81" i="3"/>
  <c r="BH65" i="3"/>
  <c r="BH25" i="3"/>
  <c r="BI59" i="3"/>
  <c r="BI88" i="3"/>
  <c r="BI72" i="3"/>
  <c r="BI64" i="3"/>
  <c r="BI48" i="3"/>
  <c r="BI40" i="3"/>
  <c r="BI32" i="3"/>
  <c r="BI24" i="3"/>
  <c r="BI63" i="3"/>
  <c r="BI39" i="3"/>
  <c r="BH99" i="3"/>
  <c r="BH78" i="3"/>
  <c r="BH70" i="3"/>
  <c r="BH62" i="3"/>
  <c r="BH54" i="3"/>
  <c r="BH46" i="3"/>
  <c r="BH38" i="3"/>
  <c r="BH22" i="3"/>
  <c r="BI73" i="3"/>
  <c r="BI55" i="3"/>
  <c r="BI29" i="3"/>
  <c r="BH12" i="3"/>
  <c r="BG97" i="3"/>
  <c r="BG67" i="3"/>
  <c r="BG39" i="3"/>
  <c r="BG25" i="3"/>
  <c r="BG101" i="3"/>
  <c r="BG65" i="3"/>
  <c r="BG45" i="3"/>
  <c r="BG27" i="3"/>
  <c r="BG102" i="3"/>
  <c r="BG94" i="3"/>
  <c r="BG86" i="3"/>
  <c r="BG78" i="3"/>
  <c r="BG70" i="3"/>
  <c r="BG62" i="3"/>
  <c r="BG54" i="3"/>
  <c r="BG46" i="3"/>
  <c r="BG38" i="3"/>
  <c r="BG30" i="3"/>
  <c r="BG22" i="3"/>
  <c r="BG14" i="3"/>
  <c r="BG13" i="3"/>
  <c r="BI103" i="3"/>
  <c r="BI99" i="3"/>
  <c r="BI95" i="3"/>
  <c r="BI91" i="3"/>
  <c r="BH101" i="3"/>
  <c r="BH87" i="3"/>
  <c r="BH79" i="3"/>
  <c r="BH71" i="3"/>
  <c r="BH63" i="3"/>
  <c r="BH55" i="3"/>
  <c r="BH47" i="3"/>
  <c r="BH39" i="3"/>
  <c r="BH31" i="3"/>
  <c r="BH23" i="3"/>
  <c r="BH18" i="3"/>
  <c r="BI53" i="3"/>
  <c r="BI33" i="3"/>
  <c r="BH100" i="3"/>
  <c r="BI86" i="3"/>
  <c r="BI78" i="3"/>
  <c r="BI70" i="3"/>
  <c r="BI62" i="3"/>
  <c r="BI54" i="3"/>
  <c r="BI46" i="3"/>
  <c r="BI38" i="3"/>
  <c r="BI30" i="3"/>
  <c r="BI22" i="3"/>
  <c r="BH102" i="3"/>
  <c r="BI79" i="3"/>
  <c r="BI57" i="3"/>
  <c r="BI31" i="3"/>
  <c r="BH95" i="3"/>
  <c r="BH84" i="3"/>
  <c r="BH76" i="3"/>
  <c r="BH68" i="3"/>
  <c r="BH60" i="3"/>
  <c r="BH52" i="3"/>
  <c r="BH44" i="3"/>
  <c r="BH36" i="3"/>
  <c r="BH28" i="3"/>
  <c r="BI20" i="3"/>
  <c r="BI16" i="3"/>
  <c r="BI87" i="3"/>
  <c r="BI71" i="3"/>
  <c r="BI47" i="3"/>
  <c r="BI23" i="3"/>
  <c r="BH13" i="3"/>
  <c r="BH17" i="3"/>
  <c r="BG103" i="3"/>
  <c r="BG15" i="3"/>
  <c r="BG11" i="3"/>
  <c r="BG90" i="3"/>
  <c r="BG58" i="3"/>
  <c r="BI105" i="3"/>
  <c r="BI93" i="3"/>
  <c r="BH93" i="3"/>
  <c r="BH83" i="3"/>
  <c r="BH67" i="3"/>
  <c r="BH43" i="3"/>
  <c r="BH35" i="3"/>
  <c r="BH27" i="3"/>
  <c r="BH20" i="3"/>
  <c r="BI43" i="3"/>
  <c r="BH92" i="3"/>
  <c r="BI66" i="3"/>
  <c r="BI50" i="3"/>
  <c r="BI42" i="3"/>
  <c r="BI13" i="3"/>
  <c r="BH88" i="3"/>
  <c r="BH72" i="3"/>
  <c r="BH64" i="3"/>
  <c r="BH48" i="3"/>
  <c r="BH24" i="3"/>
  <c r="BI77" i="3"/>
  <c r="BI35" i="3"/>
  <c r="BH11" i="3"/>
  <c r="BG57" i="3"/>
  <c r="BG105" i="3"/>
  <c r="BG69" i="3"/>
  <c r="BG49" i="3"/>
  <c r="BG104" i="3"/>
  <c r="BG88" i="3"/>
  <c r="BG72" i="3"/>
  <c r="BG64" i="3"/>
  <c r="BG48" i="3"/>
  <c r="BG40" i="3"/>
  <c r="BG32" i="3"/>
  <c r="BG16" i="3"/>
  <c r="BI104" i="3"/>
  <c r="BI96" i="3"/>
  <c r="BI92" i="3"/>
  <c r="BH105" i="3"/>
  <c r="BH73" i="3"/>
  <c r="BH57" i="3"/>
  <c r="BH49" i="3"/>
  <c r="BH41" i="3"/>
  <c r="BH33" i="3"/>
  <c r="BH19" i="3"/>
  <c r="BI37" i="3"/>
  <c r="BH104" i="3"/>
  <c r="BI80" i="3"/>
  <c r="BI56" i="3"/>
  <c r="BI11" i="3"/>
  <c r="BI83" i="3"/>
  <c r="BH86" i="3"/>
  <c r="BH30" i="3"/>
  <c r="BI17" i="3"/>
  <c r="BH98" i="3"/>
  <c r="BH16" i="3"/>
  <c r="BG83" i="3"/>
  <c r="BG53" i="3"/>
  <c r="BG81" i="3"/>
  <c r="BG10" i="3"/>
  <c r="BG93" i="3"/>
  <c r="BG79" i="3"/>
  <c r="BG63" i="3"/>
  <c r="BG51" i="3"/>
  <c r="BG35" i="3"/>
  <c r="BG21" i="3"/>
  <c r="BG95" i="3"/>
  <c r="BG77" i="3"/>
  <c r="BG59" i="3"/>
  <c r="BG41" i="3"/>
  <c r="BG19" i="3"/>
  <c r="BG100" i="3"/>
  <c r="BG92" i="3"/>
  <c r="BG84" i="3"/>
  <c r="BG76" i="3"/>
  <c r="BG68" i="3"/>
  <c r="BG60" i="3"/>
  <c r="BG52" i="3"/>
  <c r="BG44" i="3"/>
  <c r="BG36" i="3"/>
  <c r="BG28" i="3"/>
  <c r="BG20" i="3"/>
  <c r="BG12" i="3"/>
  <c r="BI10" i="3"/>
  <c r="BI102" i="3"/>
  <c r="BI98" i="3"/>
  <c r="BI94" i="3"/>
  <c r="BI90" i="3"/>
  <c r="BH97" i="3"/>
  <c r="BH85" i="3"/>
  <c r="BH77" i="3"/>
  <c r="BH69" i="3"/>
  <c r="BH61" i="3"/>
  <c r="BH53" i="3"/>
  <c r="BH45" i="3"/>
  <c r="BH37" i="3"/>
  <c r="BH29" i="3"/>
  <c r="BH21" i="3"/>
  <c r="BI85" i="3"/>
  <c r="BI49" i="3"/>
  <c r="BI27" i="3"/>
  <c r="BH96" i="3"/>
  <c r="BI84" i="3"/>
  <c r="BI76" i="3"/>
  <c r="BI68" i="3"/>
  <c r="BI60" i="3"/>
  <c r="BI52" i="3"/>
  <c r="BI44" i="3"/>
  <c r="BI36" i="3"/>
  <c r="BI28" i="3"/>
  <c r="BI15" i="3"/>
  <c r="BH94" i="3"/>
  <c r="BI75" i="3"/>
  <c r="BI51" i="3"/>
  <c r="BI25" i="3"/>
  <c r="BH91" i="3"/>
  <c r="BH82" i="3"/>
  <c r="BH74" i="3"/>
  <c r="BH66" i="3"/>
  <c r="BH58" i="3"/>
  <c r="BH50" i="3"/>
  <c r="BH42" i="3"/>
  <c r="BH34" i="3"/>
  <c r="BH26" i="3"/>
  <c r="BI19" i="3"/>
  <c r="BI14" i="3"/>
  <c r="BI81" i="3"/>
  <c r="BI65" i="3"/>
  <c r="BI41" i="3"/>
  <c r="BH10" i="3"/>
  <c r="BH14" i="3"/>
  <c r="BB105" i="3"/>
  <c r="BB101" i="3"/>
  <c r="BB97" i="3"/>
  <c r="BB93" i="3"/>
  <c r="BB89" i="3"/>
  <c r="BB67" i="3"/>
  <c r="BB43" i="3"/>
  <c r="BB21" i="3"/>
  <c r="BB82" i="3"/>
  <c r="BB74" i="3"/>
  <c r="BB66" i="3"/>
  <c r="BB58" i="3"/>
  <c r="BB50" i="3"/>
  <c r="BB42" i="3"/>
  <c r="BB34" i="3"/>
  <c r="BB26" i="3"/>
  <c r="BB13" i="3"/>
  <c r="BB69" i="3"/>
  <c r="BB45" i="3"/>
  <c r="BB18" i="3"/>
  <c r="BB12" i="3"/>
  <c r="BB77" i="3"/>
  <c r="BB61" i="3"/>
  <c r="BB35" i="3"/>
  <c r="BB104" i="3"/>
  <c r="BB100" i="3"/>
  <c r="BB96" i="3"/>
  <c r="BB92" i="3"/>
  <c r="BB59" i="3"/>
  <c r="BB37" i="3"/>
  <c r="BB88" i="3"/>
  <c r="BB80" i="3"/>
  <c r="BB72" i="3"/>
  <c r="BB64" i="3"/>
  <c r="BB56" i="3"/>
  <c r="BB48" i="3"/>
  <c r="BB40" i="3"/>
  <c r="BB32" i="3"/>
  <c r="BB24" i="3"/>
  <c r="BB11" i="3"/>
  <c r="BB83" i="3"/>
  <c r="BB63" i="3"/>
  <c r="BB39" i="3"/>
  <c r="BB17" i="3"/>
  <c r="BB73" i="3"/>
  <c r="BB55" i="3"/>
  <c r="BB29" i="3"/>
  <c r="BB103" i="3"/>
  <c r="BB99" i="3"/>
  <c r="BB95" i="3"/>
  <c r="BB91" i="3"/>
  <c r="BB53" i="3"/>
  <c r="BB33" i="3"/>
  <c r="BB86" i="3"/>
  <c r="BB78" i="3"/>
  <c r="BB70" i="3"/>
  <c r="BB62" i="3"/>
  <c r="BB54" i="3"/>
  <c r="BB46" i="3"/>
  <c r="BB38" i="3"/>
  <c r="BB30" i="3"/>
  <c r="BB22" i="3"/>
  <c r="BB79" i="3"/>
  <c r="BB57" i="3"/>
  <c r="BB31" i="3"/>
  <c r="BB20" i="3"/>
  <c r="BB16" i="3"/>
  <c r="BB87" i="3"/>
  <c r="BB71" i="3"/>
  <c r="BB47" i="3"/>
  <c r="BB23" i="3"/>
  <c r="BB102" i="3"/>
  <c r="BB98" i="3"/>
  <c r="BB94" i="3"/>
  <c r="BB90" i="3"/>
  <c r="BB85" i="3"/>
  <c r="BB49" i="3"/>
  <c r="BB27" i="3"/>
  <c r="BB84" i="3"/>
  <c r="BB76" i="3"/>
  <c r="BB68" i="3"/>
  <c r="BB60" i="3"/>
  <c r="BB52" i="3"/>
  <c r="BB44" i="3"/>
  <c r="BB36" i="3"/>
  <c r="BB28" i="3"/>
  <c r="BB15" i="3"/>
  <c r="BB75" i="3"/>
  <c r="BB51" i="3"/>
  <c r="BB25" i="3"/>
  <c r="BB19" i="3"/>
  <c r="BB14" i="3"/>
  <c r="BB81" i="3"/>
  <c r="BB65" i="3"/>
  <c r="BB41" i="3"/>
  <c r="AZ89" i="3"/>
  <c r="AZ33" i="3"/>
  <c r="AZ73" i="3"/>
  <c r="AZ37" i="3"/>
  <c r="AZ98" i="3"/>
  <c r="AZ82" i="3"/>
  <c r="AZ66" i="3"/>
  <c r="AZ50" i="3"/>
  <c r="AZ18" i="3"/>
  <c r="BA93" i="3"/>
  <c r="BA83" i="3"/>
  <c r="BA67" i="3"/>
  <c r="BA43" i="3"/>
  <c r="BA20" i="3"/>
  <c r="BA90" i="3"/>
  <c r="BA88" i="3"/>
  <c r="BA80" i="3"/>
  <c r="BA64" i="3"/>
  <c r="BA48" i="3"/>
  <c r="BA32" i="3"/>
  <c r="BA11" i="3"/>
  <c r="AZ99" i="3"/>
  <c r="AZ57" i="3"/>
  <c r="AZ29" i="3"/>
  <c r="AZ69" i="3"/>
  <c r="AZ31" i="3"/>
  <c r="AZ96" i="3"/>
  <c r="AZ80" i="3"/>
  <c r="AZ64" i="3"/>
  <c r="AZ56" i="3"/>
  <c r="AZ40" i="3"/>
  <c r="AZ16" i="3"/>
  <c r="BA105" i="3"/>
  <c r="BA81" i="3"/>
  <c r="BA73" i="3"/>
  <c r="BA65" i="3"/>
  <c r="BA57" i="3"/>
  <c r="BA41" i="3"/>
  <c r="BA33" i="3"/>
  <c r="BA25" i="3"/>
  <c r="BA19" i="3"/>
  <c r="BA104" i="3"/>
  <c r="BA86" i="3"/>
  <c r="BA62" i="3"/>
  <c r="BA30" i="3"/>
  <c r="BA98" i="3"/>
  <c r="BA16" i="3"/>
  <c r="AZ97" i="3"/>
  <c r="AZ83" i="3"/>
  <c r="AZ67" i="3"/>
  <c r="AZ53" i="3"/>
  <c r="AZ39" i="3"/>
  <c r="AZ25" i="3"/>
  <c r="AZ101" i="3"/>
  <c r="AZ81" i="3"/>
  <c r="AZ65" i="3"/>
  <c r="AZ45" i="3"/>
  <c r="AZ27" i="3"/>
  <c r="AZ102" i="3"/>
  <c r="AZ94" i="3"/>
  <c r="AZ86" i="3"/>
  <c r="AZ78" i="3"/>
  <c r="AZ70" i="3"/>
  <c r="AZ62" i="3"/>
  <c r="AZ54" i="3"/>
  <c r="AZ46" i="3"/>
  <c r="AZ38" i="3"/>
  <c r="AZ30" i="3"/>
  <c r="AZ22" i="3"/>
  <c r="AZ14" i="3"/>
  <c r="AZ13" i="3"/>
  <c r="BA101" i="3"/>
  <c r="BA87" i="3"/>
  <c r="BA79" i="3"/>
  <c r="BA71" i="3"/>
  <c r="BA63" i="3"/>
  <c r="BA55" i="3"/>
  <c r="BA47" i="3"/>
  <c r="BA39" i="3"/>
  <c r="BA31" i="3"/>
  <c r="BA23" i="3"/>
  <c r="BA18" i="3"/>
  <c r="BA100" i="3"/>
  <c r="BA102" i="3"/>
  <c r="BA95" i="3"/>
  <c r="BA84" i="3"/>
  <c r="BA76" i="3"/>
  <c r="BA68" i="3"/>
  <c r="BA60" i="3"/>
  <c r="BA52" i="3"/>
  <c r="BA44" i="3"/>
  <c r="BA36" i="3"/>
  <c r="BA28" i="3"/>
  <c r="BA13" i="3"/>
  <c r="BA17" i="3"/>
  <c r="AZ103" i="3"/>
  <c r="AZ75" i="3"/>
  <c r="AZ61" i="3"/>
  <c r="AZ47" i="3"/>
  <c r="AZ15" i="3"/>
  <c r="AZ91" i="3"/>
  <c r="AZ55" i="3"/>
  <c r="AZ11" i="3"/>
  <c r="AZ90" i="3"/>
  <c r="AZ74" i="3"/>
  <c r="AZ58" i="3"/>
  <c r="AZ42" i="3"/>
  <c r="AZ34" i="3"/>
  <c r="AZ26" i="3"/>
  <c r="AZ23" i="3"/>
  <c r="BA75" i="3"/>
  <c r="BA59" i="3"/>
  <c r="BA51" i="3"/>
  <c r="BA35" i="3"/>
  <c r="BA27" i="3"/>
  <c r="BA92" i="3"/>
  <c r="BA103" i="3"/>
  <c r="BA72" i="3"/>
  <c r="BA56" i="3"/>
  <c r="BA40" i="3"/>
  <c r="BA24" i="3"/>
  <c r="BA15" i="3"/>
  <c r="AZ85" i="3"/>
  <c r="AZ71" i="3"/>
  <c r="AZ43" i="3"/>
  <c r="AZ105" i="3"/>
  <c r="AZ87" i="3"/>
  <c r="AZ49" i="3"/>
  <c r="AZ104" i="3"/>
  <c r="AZ88" i="3"/>
  <c r="AZ72" i="3"/>
  <c r="AZ48" i="3"/>
  <c r="AZ32" i="3"/>
  <c r="AZ24" i="3"/>
  <c r="AZ17" i="3"/>
  <c r="BA89" i="3"/>
  <c r="BA49" i="3"/>
  <c r="BA99" i="3"/>
  <c r="BA78" i="3"/>
  <c r="BA70" i="3"/>
  <c r="BA54" i="3"/>
  <c r="BA46" i="3"/>
  <c r="BA38" i="3"/>
  <c r="BA22" i="3"/>
  <c r="BA12" i="3"/>
  <c r="AZ93" i="3"/>
  <c r="AZ79" i="3"/>
  <c r="AZ63" i="3"/>
  <c r="AZ51" i="3"/>
  <c r="AZ35" i="3"/>
  <c r="AZ21" i="3"/>
  <c r="AZ95" i="3"/>
  <c r="AZ77" i="3"/>
  <c r="AZ59" i="3"/>
  <c r="AZ41" i="3"/>
  <c r="AZ19" i="3"/>
  <c r="AZ100" i="3"/>
  <c r="AZ92" i="3"/>
  <c r="AZ84" i="3"/>
  <c r="AZ76" i="3"/>
  <c r="AZ68" i="3"/>
  <c r="AZ60" i="3"/>
  <c r="AZ52" i="3"/>
  <c r="AZ44" i="3"/>
  <c r="AZ36" i="3"/>
  <c r="AZ28" i="3"/>
  <c r="AZ20" i="3"/>
  <c r="AZ12" i="3"/>
  <c r="BA97" i="3"/>
  <c r="BA85" i="3"/>
  <c r="BA77" i="3"/>
  <c r="BA69" i="3"/>
  <c r="BA61" i="3"/>
  <c r="BA53" i="3"/>
  <c r="BA45" i="3"/>
  <c r="BA37" i="3"/>
  <c r="BA29" i="3"/>
  <c r="BA21" i="3"/>
  <c r="BA96" i="3"/>
  <c r="BA94" i="3"/>
  <c r="BA91" i="3"/>
  <c r="BA82" i="3"/>
  <c r="BA74" i="3"/>
  <c r="CC26" i="3" s="1"/>
  <c r="BA66" i="3"/>
  <c r="BA58" i="3"/>
  <c r="BA50" i="3"/>
  <c r="BA42" i="3"/>
  <c r="BA34" i="3"/>
  <c r="BA26" i="3"/>
  <c r="BA14" i="3"/>
  <c r="BB10" i="3"/>
  <c r="BA10" i="3"/>
  <c r="AZ10" i="3"/>
  <c r="CC24" i="3" l="1"/>
  <c r="CD31" i="3"/>
  <c r="CY33" i="3"/>
  <c r="CX33" i="3"/>
  <c r="CP25" i="3"/>
  <c r="CW19" i="3"/>
  <c r="CX11" i="3"/>
  <c r="CX16" i="3"/>
  <c r="CX24" i="3"/>
  <c r="CY31" i="3"/>
  <c r="CY15" i="3"/>
  <c r="CY23" i="3"/>
  <c r="CW13" i="3"/>
  <c r="CW21" i="3"/>
  <c r="CW29" i="3"/>
  <c r="CX15" i="3"/>
  <c r="CX23" i="3"/>
  <c r="CY14" i="3"/>
  <c r="CW14" i="3"/>
  <c r="CW30" i="3"/>
  <c r="CR17" i="3"/>
  <c r="CX14" i="3"/>
  <c r="CX22" i="3"/>
  <c r="CX31" i="3"/>
  <c r="CW27" i="3"/>
  <c r="CW12" i="3"/>
  <c r="CR11" i="3"/>
  <c r="CR32" i="3"/>
  <c r="CP21" i="3"/>
  <c r="CP29" i="3"/>
  <c r="CX10" i="3"/>
  <c r="CY11" i="3"/>
  <c r="CX18" i="3"/>
  <c r="CX26" i="3"/>
  <c r="CY32" i="3"/>
  <c r="CY17" i="3"/>
  <c r="CY25" i="3"/>
  <c r="CW15" i="3"/>
  <c r="CW23" i="3"/>
  <c r="CW31" i="3"/>
  <c r="CX32" i="3"/>
  <c r="CX17" i="3"/>
  <c r="CX25" i="3"/>
  <c r="CY12" i="3"/>
  <c r="CY16" i="3"/>
  <c r="CY24" i="3"/>
  <c r="CW16" i="3"/>
  <c r="CW24" i="3"/>
  <c r="CW32" i="3"/>
  <c r="CX20" i="3"/>
  <c r="CX28" i="3"/>
  <c r="CY19" i="3"/>
  <c r="CY27" i="3"/>
  <c r="CW17" i="3"/>
  <c r="CW25" i="3"/>
  <c r="CW33" i="3"/>
  <c r="CX19" i="3"/>
  <c r="CX27" i="3"/>
  <c r="CW10" i="3"/>
  <c r="CX30" i="3"/>
  <c r="CY18" i="3"/>
  <c r="CY26" i="3"/>
  <c r="CW18" i="3"/>
  <c r="CW26" i="3"/>
  <c r="CY22" i="3"/>
  <c r="CW22" i="3"/>
  <c r="CQ14" i="3"/>
  <c r="CQ22" i="3"/>
  <c r="CQ31" i="3"/>
  <c r="CR30" i="3"/>
  <c r="CR10" i="3"/>
  <c r="CP10" i="3"/>
  <c r="CR25" i="3"/>
  <c r="CP17" i="3"/>
  <c r="CQ17" i="3"/>
  <c r="CQ25" i="3"/>
  <c r="CY30" i="3"/>
  <c r="CY10" i="3"/>
  <c r="CY13" i="3"/>
  <c r="CY21" i="3"/>
  <c r="CY29" i="3"/>
  <c r="CX12" i="3"/>
  <c r="CW11" i="3"/>
  <c r="CX13" i="3"/>
  <c r="CX21" i="3"/>
  <c r="CX29" i="3"/>
  <c r="CY20" i="3"/>
  <c r="CY28" i="3"/>
  <c r="CW20" i="3"/>
  <c r="CW28" i="3"/>
  <c r="CR20" i="3"/>
  <c r="CR28" i="3"/>
  <c r="CP18" i="3"/>
  <c r="CQ32" i="3"/>
  <c r="CP26" i="3"/>
  <c r="CQ11" i="3"/>
  <c r="CQ16" i="3"/>
  <c r="CQ24" i="3"/>
  <c r="CR31" i="3"/>
  <c r="CP13" i="3"/>
  <c r="CQ33" i="3"/>
  <c r="CR19" i="3"/>
  <c r="CR27" i="3"/>
  <c r="CP19" i="3"/>
  <c r="CP27" i="3"/>
  <c r="CQ19" i="3"/>
  <c r="CQ27" i="3"/>
  <c r="CR14" i="3"/>
  <c r="CR22" i="3"/>
  <c r="CP12" i="3"/>
  <c r="CP20" i="3"/>
  <c r="CP28" i="3"/>
  <c r="CQ10" i="3"/>
  <c r="CQ18" i="3"/>
  <c r="CQ26" i="3"/>
  <c r="CP31" i="3"/>
  <c r="CR13" i="3"/>
  <c r="CR21" i="3"/>
  <c r="CR29" i="3"/>
  <c r="CQ12" i="3"/>
  <c r="CP11" i="3"/>
  <c r="CQ13" i="3"/>
  <c r="CQ21" i="3"/>
  <c r="CQ29" i="3"/>
  <c r="CR12" i="3"/>
  <c r="CR16" i="3"/>
  <c r="CR24" i="3"/>
  <c r="CP14" i="3"/>
  <c r="CP22" i="3"/>
  <c r="CP30" i="3"/>
  <c r="CK33" i="3"/>
  <c r="CQ20" i="3"/>
  <c r="CQ28" i="3"/>
  <c r="CR33" i="3"/>
  <c r="CR15" i="3"/>
  <c r="CR23" i="3"/>
  <c r="CP15" i="3"/>
  <c r="CP23" i="3"/>
  <c r="CP33" i="3"/>
  <c r="CQ15" i="3"/>
  <c r="CQ23" i="3"/>
  <c r="CQ30" i="3"/>
  <c r="CR18" i="3"/>
  <c r="CR26" i="3"/>
  <c r="CP16" i="3"/>
  <c r="CP24" i="3"/>
  <c r="CP32" i="3"/>
  <c r="CC17" i="3"/>
  <c r="CC22" i="3"/>
  <c r="CJ11" i="3"/>
  <c r="CJ16" i="3"/>
  <c r="CJ24" i="3"/>
  <c r="CK31" i="3"/>
  <c r="CJ32" i="3"/>
  <c r="CI30" i="3"/>
  <c r="CK19" i="3"/>
  <c r="CI17" i="3"/>
  <c r="CI25" i="3"/>
  <c r="CI33" i="3"/>
  <c r="CJ21" i="3"/>
  <c r="CK14" i="3"/>
  <c r="CI16" i="3"/>
  <c r="CJ20" i="3"/>
  <c r="CJ28" i="3"/>
  <c r="CI13" i="3"/>
  <c r="CJ29" i="3"/>
  <c r="CJ10" i="3"/>
  <c r="CK11" i="3"/>
  <c r="CJ18" i="3"/>
  <c r="CJ26" i="3"/>
  <c r="CK32" i="3"/>
  <c r="CK18" i="3"/>
  <c r="CK13" i="3"/>
  <c r="CK21" i="3"/>
  <c r="CK29" i="3"/>
  <c r="CJ12" i="3"/>
  <c r="CI11" i="3"/>
  <c r="CI19" i="3"/>
  <c r="CI27" i="3"/>
  <c r="CJ13" i="3"/>
  <c r="CJ23" i="3"/>
  <c r="CK16" i="3"/>
  <c r="CI18" i="3"/>
  <c r="CI28" i="3"/>
  <c r="CJ15" i="3"/>
  <c r="CK20" i="3"/>
  <c r="CK15" i="3"/>
  <c r="CK23" i="3"/>
  <c r="CI21" i="3"/>
  <c r="CI29" i="3"/>
  <c r="CJ17" i="3"/>
  <c r="CJ25" i="3"/>
  <c r="CK22" i="3"/>
  <c r="CI12" i="3"/>
  <c r="CI20" i="3"/>
  <c r="CI32" i="3"/>
  <c r="CJ33" i="3"/>
  <c r="CK27" i="3"/>
  <c r="CK28" i="3"/>
  <c r="CI26" i="3"/>
  <c r="CJ14" i="3"/>
  <c r="CJ22" i="3"/>
  <c r="CJ31" i="3"/>
  <c r="CK30" i="3"/>
  <c r="CK10" i="3"/>
  <c r="CI10" i="3"/>
  <c r="CK24" i="3"/>
  <c r="CI22" i="3"/>
  <c r="CK17" i="3"/>
  <c r="CK25" i="3"/>
  <c r="CI15" i="3"/>
  <c r="CI23" i="3"/>
  <c r="CI31" i="3"/>
  <c r="CJ19" i="3"/>
  <c r="CJ27" i="3"/>
  <c r="CK12" i="3"/>
  <c r="CJ30" i="3"/>
  <c r="CK26" i="3"/>
  <c r="CI14" i="3"/>
  <c r="CI24" i="3"/>
  <c r="CC14" i="3"/>
  <c r="CC21" i="3"/>
  <c r="CC15" i="3"/>
  <c r="CD11" i="3"/>
  <c r="CD33" i="3"/>
  <c r="CD17" i="3"/>
  <c r="CD25" i="3"/>
  <c r="CD12" i="3"/>
  <c r="CD14" i="3"/>
  <c r="CD22" i="3"/>
  <c r="CC11" i="3"/>
  <c r="CC28" i="3"/>
  <c r="CC10" i="3"/>
  <c r="CC16" i="3"/>
  <c r="CC31" i="3"/>
  <c r="CC13" i="3"/>
  <c r="CC25" i="3"/>
  <c r="CC33" i="3"/>
  <c r="CC23" i="3"/>
  <c r="CD30" i="3"/>
  <c r="CD19" i="3"/>
  <c r="CD27" i="3"/>
  <c r="CD16" i="3"/>
  <c r="CD24" i="3"/>
  <c r="CD10" i="3"/>
  <c r="CC18" i="3"/>
  <c r="CC27" i="3"/>
  <c r="CB33" i="3"/>
  <c r="CC29" i="3"/>
  <c r="CC30" i="3"/>
  <c r="CD13" i="3"/>
  <c r="CD21" i="3"/>
  <c r="CD29" i="3"/>
  <c r="CD18" i="3"/>
  <c r="CD26" i="3"/>
  <c r="CC20" i="3"/>
  <c r="CC19" i="3"/>
  <c r="CC12" i="3"/>
  <c r="CC32" i="3"/>
  <c r="CD32" i="3"/>
  <c r="CD15" i="3"/>
  <c r="CD23" i="3"/>
  <c r="CD20" i="3"/>
  <c r="CD28" i="3"/>
  <c r="CB30" i="3"/>
  <c r="CB32" i="3"/>
  <c r="CB31" i="3"/>
  <c r="CB29" i="3"/>
  <c r="CB28" i="3"/>
  <c r="CB24" i="3"/>
  <c r="CB27" i="3"/>
  <c r="CB26" i="3"/>
  <c r="CB25" i="3"/>
  <c r="CB23" i="3"/>
  <c r="CB22" i="3"/>
  <c r="CB21" i="3"/>
  <c r="CB18" i="3"/>
  <c r="CB20" i="3"/>
  <c r="CB19" i="3"/>
  <c r="CB17" i="3"/>
  <c r="CB15" i="3"/>
  <c r="CB16" i="3"/>
  <c r="CB14" i="3"/>
  <c r="CB13" i="3"/>
  <c r="CB10" i="3"/>
  <c r="CB12" i="3"/>
  <c r="AJ12" i="3" s="1"/>
  <c r="CB11" i="3"/>
  <c r="AJ13" i="3" l="1"/>
  <c r="AJ17" i="3"/>
  <c r="AJ26" i="3"/>
  <c r="AL30" i="3"/>
  <c r="AK13" i="3"/>
  <c r="AL11" i="3"/>
  <c r="AJ25" i="3"/>
  <c r="AL10" i="3"/>
  <c r="AJ16" i="3"/>
  <c r="AJ20" i="3"/>
  <c r="AK12" i="3"/>
  <c r="AK18" i="3"/>
  <c r="AL27" i="3"/>
  <c r="AK33" i="3"/>
  <c r="AK16" i="3"/>
  <c r="AL22" i="3"/>
  <c r="AJ23" i="3"/>
  <c r="AJ24" i="3"/>
  <c r="AJ32" i="3"/>
  <c r="AL23" i="3"/>
  <c r="AL18" i="3"/>
  <c r="AK30" i="3"/>
  <c r="AL17" i="3"/>
  <c r="AK21" i="3"/>
  <c r="AJ28" i="3"/>
  <c r="AK29" i="3"/>
  <c r="AL19" i="3"/>
  <c r="AK25" i="3"/>
  <c r="AL14" i="3"/>
  <c r="AL28" i="3"/>
  <c r="AL32" i="3"/>
  <c r="AK20" i="3"/>
  <c r="AJ33" i="3"/>
  <c r="AJ15" i="3"/>
  <c r="AJ18" i="3"/>
  <c r="AJ30" i="3"/>
  <c r="AL15" i="3"/>
  <c r="AK19" i="3"/>
  <c r="AL29" i="3"/>
  <c r="AK14" i="3"/>
  <c r="AL24" i="3"/>
  <c r="AK26" i="3"/>
  <c r="AK10" i="3"/>
  <c r="AL33" i="3"/>
  <c r="AK17" i="3"/>
  <c r="AK28" i="3"/>
  <c r="AL12" i="3"/>
  <c r="AJ11" i="3"/>
  <c r="AJ14" i="3"/>
  <c r="AJ19" i="3"/>
  <c r="AJ22" i="3"/>
  <c r="AJ27" i="3"/>
  <c r="AJ31" i="3"/>
  <c r="AL20" i="3"/>
  <c r="AK32" i="3"/>
  <c r="AL26" i="3"/>
  <c r="AL13" i="3"/>
  <c r="AK27" i="3"/>
  <c r="AL16" i="3"/>
  <c r="AK23" i="3"/>
  <c r="AK31" i="3"/>
  <c r="AK11" i="3"/>
  <c r="AL25" i="3"/>
  <c r="AK15" i="3"/>
  <c r="AL31" i="3"/>
  <c r="AK22" i="3"/>
  <c r="AK24" i="3"/>
  <c r="AJ21" i="3"/>
  <c r="AJ29" i="3"/>
  <c r="AL21" i="3"/>
  <c r="AJ10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<sst xmlns="http://schemas.openxmlformats.org/spreadsheetml/2006/main" count="597" uniqueCount="153">
  <si>
    <t>平日</t>
  </si>
  <si>
    <t>平日</t>
    <rPh sb="0" eb="2">
      <t>ヘイジツ</t>
    </rPh>
    <phoneticPr fontId="1"/>
  </si>
  <si>
    <t>休日在宅</t>
  </si>
  <si>
    <t>休日在宅</t>
    <rPh sb="0" eb="2">
      <t>キュウジツ</t>
    </rPh>
    <rPh sb="2" eb="4">
      <t>ザイタク</t>
    </rPh>
    <phoneticPr fontId="1"/>
  </si>
  <si>
    <t>休日外出</t>
  </si>
  <si>
    <t>休日外出</t>
    <rPh sb="0" eb="2">
      <t>キュウジツ</t>
    </rPh>
    <rPh sb="2" eb="4">
      <t>ガイシュツ</t>
    </rPh>
    <phoneticPr fontId="1"/>
  </si>
  <si>
    <t>10:00 - 11:00</t>
  </si>
  <si>
    <t>11:00 - 12:00</t>
  </si>
  <si>
    <t>12:00 - 13:00</t>
  </si>
  <si>
    <t>13:00 - 14:00</t>
  </si>
  <si>
    <t>14:00 - 15:00</t>
  </si>
  <si>
    <t>15:00 - 16:00</t>
  </si>
  <si>
    <t>16:00 - 17:00</t>
  </si>
  <si>
    <t>17:00 - 18:00</t>
  </si>
  <si>
    <t>18:00 - 19:00</t>
  </si>
  <si>
    <t>19:00 - 20:00</t>
  </si>
  <si>
    <t>20:00 - 21:00</t>
  </si>
  <si>
    <t>21:00 - 22:00</t>
  </si>
  <si>
    <t>22:00 - 23:00</t>
  </si>
  <si>
    <t>部屋名</t>
  </si>
  <si>
    <t>台所</t>
  </si>
  <si>
    <t>居間・食堂</t>
  </si>
  <si>
    <t>主寝室</t>
  </si>
  <si>
    <t>洋室１</t>
  </si>
  <si>
    <t>洋室２</t>
  </si>
  <si>
    <t>洗面所</t>
  </si>
  <si>
    <t>便所１・２</t>
  </si>
  <si>
    <t>家電番号</t>
  </si>
  <si>
    <t>A01</t>
  </si>
  <si>
    <t>A02</t>
  </si>
  <si>
    <t>A03</t>
  </si>
  <si>
    <t>A04</t>
  </si>
  <si>
    <t>A05</t>
  </si>
  <si>
    <t>A06</t>
  </si>
  <si>
    <t>A07</t>
  </si>
  <si>
    <t>A08</t>
  </si>
  <si>
    <t>A09</t>
  </si>
  <si>
    <t>A10</t>
  </si>
  <si>
    <t>A11</t>
  </si>
  <si>
    <t>A12</t>
  </si>
  <si>
    <t>A13</t>
  </si>
  <si>
    <t>A14</t>
  </si>
  <si>
    <t>A15</t>
  </si>
  <si>
    <t>A16</t>
  </si>
  <si>
    <t>便所</t>
  </si>
  <si>
    <t>■Info.</t>
    <phoneticPr fontId="1"/>
  </si>
  <si>
    <t>ID</t>
    <phoneticPr fontId="1"/>
  </si>
  <si>
    <t>A01</t>
    <phoneticPr fontId="1"/>
  </si>
  <si>
    <t>A02</t>
    <phoneticPr fontId="1"/>
  </si>
  <si>
    <t>H.A. name</t>
    <phoneticPr fontId="1"/>
  </si>
  <si>
    <t>冷蔵庫</t>
    <rPh sb="0" eb="3">
      <t>レイゾウコ</t>
    </rPh>
    <phoneticPr fontId="1"/>
  </si>
  <si>
    <t>電気ケトル</t>
    <rPh sb="0" eb="2">
      <t>デンキ</t>
    </rPh>
    <phoneticPr fontId="1"/>
  </si>
  <si>
    <t>電子レンジ</t>
    <rPh sb="0" eb="2">
      <t>デンシ</t>
    </rPh>
    <phoneticPr fontId="1"/>
  </si>
  <si>
    <t>電気炊飯器</t>
    <rPh sb="0" eb="2">
      <t>デンキ</t>
    </rPh>
    <rPh sb="2" eb="5">
      <t>スイハンキ</t>
    </rPh>
    <phoneticPr fontId="1"/>
  </si>
  <si>
    <t>パソコン</t>
    <phoneticPr fontId="1"/>
  </si>
  <si>
    <t>掃除機</t>
    <rPh sb="0" eb="3">
      <t>ソウジキ</t>
    </rPh>
    <phoneticPr fontId="1"/>
  </si>
  <si>
    <t>アイロン</t>
    <phoneticPr fontId="1"/>
  </si>
  <si>
    <t>PCゲーム機</t>
    <rPh sb="5" eb="6">
      <t>キ</t>
    </rPh>
    <phoneticPr fontId="1"/>
  </si>
  <si>
    <t>MDコンポ</t>
    <phoneticPr fontId="1"/>
  </si>
  <si>
    <t>スタンド</t>
    <phoneticPr fontId="1"/>
  </si>
  <si>
    <t>洗濯機</t>
    <rPh sb="0" eb="3">
      <t>センタクキ</t>
    </rPh>
    <phoneticPr fontId="1"/>
  </si>
  <si>
    <t>ヘアドライヤー</t>
    <phoneticPr fontId="1"/>
  </si>
  <si>
    <t>便座</t>
    <rPh sb="0" eb="2">
      <t>ベンザ</t>
    </rPh>
    <phoneticPr fontId="1"/>
  </si>
  <si>
    <t>mode 0</t>
    <phoneticPr fontId="1"/>
  </si>
  <si>
    <t>mode 1</t>
    <phoneticPr fontId="1"/>
  </si>
  <si>
    <t>mode 2</t>
    <phoneticPr fontId="1"/>
  </si>
  <si>
    <t>mode 3</t>
    <phoneticPr fontId="1"/>
  </si>
  <si>
    <t>除霜</t>
    <rPh sb="0" eb="2">
      <t>ジョソウ</t>
    </rPh>
    <phoneticPr fontId="1"/>
  </si>
  <si>
    <t>休止</t>
    <rPh sb="0" eb="2">
      <t>キュウシ</t>
    </rPh>
    <phoneticPr fontId="1"/>
  </si>
  <si>
    <t>冷却</t>
    <rPh sb="0" eb="2">
      <t>レイキャク</t>
    </rPh>
    <phoneticPr fontId="1"/>
  </si>
  <si>
    <t>停止</t>
    <rPh sb="0" eb="2">
      <t>テイシ</t>
    </rPh>
    <phoneticPr fontId="1"/>
  </si>
  <si>
    <t>沸き上げ</t>
    <rPh sb="0" eb="1">
      <t>ワ</t>
    </rPh>
    <rPh sb="2" eb="3">
      <t>ア</t>
    </rPh>
    <phoneticPr fontId="1"/>
  </si>
  <si>
    <t>調理</t>
    <rPh sb="0" eb="2">
      <t>チョウリ</t>
    </rPh>
    <phoneticPr fontId="1"/>
  </si>
  <si>
    <t>炊飯</t>
    <rPh sb="0" eb="2">
      <t>スイハン</t>
    </rPh>
    <phoneticPr fontId="1"/>
  </si>
  <si>
    <t>保温</t>
    <rPh sb="0" eb="2">
      <t>ホオン</t>
    </rPh>
    <phoneticPr fontId="1"/>
  </si>
  <si>
    <t>待機</t>
    <rPh sb="0" eb="2">
      <t>タイキ</t>
    </rPh>
    <phoneticPr fontId="1"/>
  </si>
  <si>
    <t>視聴</t>
    <rPh sb="0" eb="2">
      <t>シチョウ</t>
    </rPh>
    <phoneticPr fontId="1"/>
  </si>
  <si>
    <t>使用</t>
  </si>
  <si>
    <t>使用</t>
    <rPh sb="0" eb="2">
      <t>シヨウ</t>
    </rPh>
    <phoneticPr fontId="1"/>
  </si>
  <si>
    <t>CDラジカセ（A12も同じ）</t>
    <rPh sb="11" eb="12">
      <t>オナ</t>
    </rPh>
    <phoneticPr fontId="1"/>
  </si>
  <si>
    <t>聴取</t>
    <rPh sb="0" eb="2">
      <t>チョウシュ</t>
    </rPh>
    <phoneticPr fontId="1"/>
  </si>
  <si>
    <t>稼働</t>
    <rPh sb="0" eb="2">
      <t>カドウ</t>
    </rPh>
    <phoneticPr fontId="1"/>
  </si>
  <si>
    <t>消灯</t>
    <rPh sb="0" eb="2">
      <t>ショウトウ</t>
    </rPh>
    <phoneticPr fontId="1"/>
  </si>
  <si>
    <t>点灯</t>
    <rPh sb="0" eb="2">
      <t>テントウ</t>
    </rPh>
    <phoneticPr fontId="1"/>
  </si>
  <si>
    <t>洗濯</t>
    <rPh sb="0" eb="2">
      <t>センタク</t>
    </rPh>
    <phoneticPr fontId="1"/>
  </si>
  <si>
    <t>暖房</t>
    <rPh sb="0" eb="2">
      <t>ダンボウ</t>
    </rPh>
    <phoneticPr fontId="1"/>
  </si>
  <si>
    <t>■Pram</t>
    <phoneticPr fontId="1"/>
  </si>
  <si>
    <t>◇評価対象の名前(文字列)</t>
    <rPh sb="1" eb="3">
      <t>ヒョウカ</t>
    </rPh>
    <rPh sb="3" eb="5">
      <t>タイショウ</t>
    </rPh>
    <rPh sb="6" eb="8">
      <t>ナマエ</t>
    </rPh>
    <rPh sb="9" eb="12">
      <t>モジレツ</t>
    </rPh>
    <phoneticPr fontId="1"/>
  </si>
  <si>
    <t>◇個別</t>
    <rPh sb="1" eb="3">
      <t>コベツ</t>
    </rPh>
    <phoneticPr fontId="1"/>
  </si>
  <si>
    <t>：</t>
    <phoneticPr fontId="1"/>
  </si>
  <si>
    <t>世帯人数</t>
    <rPh sb="0" eb="2">
      <t>セタイ</t>
    </rPh>
    <rPh sb="2" eb="4">
      <t>ニンズウ</t>
    </rPh>
    <phoneticPr fontId="1"/>
  </si>
  <si>
    <t>人世帯</t>
    <rPh sb="0" eb="3">
      <t>ニンセタイ</t>
    </rPh>
    <phoneticPr fontId="1"/>
  </si>
  <si>
    <t>◆入力</t>
    <rPh sb="1" eb="3">
      <t>ニュウリョク</t>
    </rPh>
    <phoneticPr fontId="1"/>
  </si>
  <si>
    <t>◆自動計算</t>
    <rPh sb="1" eb="3">
      <t>ジドウ</t>
    </rPh>
    <rPh sb="3" eb="5">
      <t>ケイサン</t>
    </rPh>
    <phoneticPr fontId="1"/>
  </si>
  <si>
    <t>参照シート（平日）</t>
    <rPh sb="0" eb="2">
      <t>サンショウ</t>
    </rPh>
    <rPh sb="6" eb="8">
      <t>ヘイジツ</t>
    </rPh>
    <phoneticPr fontId="1"/>
  </si>
  <si>
    <t>参照シート（休日在宅）</t>
    <rPh sb="0" eb="2">
      <t>サンショウ</t>
    </rPh>
    <rPh sb="6" eb="8">
      <t>キュウジツ</t>
    </rPh>
    <rPh sb="8" eb="10">
      <t>ザイタク</t>
    </rPh>
    <phoneticPr fontId="1"/>
  </si>
  <si>
    <t>参照シート（休日外出）</t>
    <rPh sb="0" eb="2">
      <t>サンショウ</t>
    </rPh>
    <rPh sb="6" eb="8">
      <t>キュウジツ</t>
    </rPh>
    <rPh sb="8" eb="10">
      <t>ガイシュツ</t>
    </rPh>
    <phoneticPr fontId="1"/>
  </si>
  <si>
    <t>■Data</t>
    <phoneticPr fontId="1"/>
  </si>
  <si>
    <t>◇mode table</t>
    <phoneticPr fontId="1"/>
  </si>
  <si>
    <t>対象家電1</t>
    <rPh sb="0" eb="2">
      <t>タイショウ</t>
    </rPh>
    <rPh sb="2" eb="4">
      <t>カデン</t>
    </rPh>
    <phoneticPr fontId="1"/>
  </si>
  <si>
    <t>動作条件数</t>
    <rPh sb="0" eb="2">
      <t>ドウサ</t>
    </rPh>
    <rPh sb="2" eb="4">
      <t>ジョウケン</t>
    </rPh>
    <rPh sb="4" eb="5">
      <t>スウ</t>
    </rPh>
    <phoneticPr fontId="1"/>
  </si>
  <si>
    <t>沸上</t>
    <rPh sb="0" eb="1">
      <t>ワ</t>
    </rPh>
    <rPh sb="1" eb="2">
      <t>ア</t>
    </rPh>
    <phoneticPr fontId="1"/>
  </si>
  <si>
    <t>処理対象家電 ID</t>
    <rPh sb="0" eb="2">
      <t>ショリ</t>
    </rPh>
    <rPh sb="2" eb="4">
      <t>タイショウ</t>
    </rPh>
    <rPh sb="4" eb="6">
      <t>カデン</t>
    </rPh>
    <phoneticPr fontId="1"/>
  </si>
  <si>
    <t>◇Calc.</t>
    <phoneticPr fontId="1"/>
  </si>
  <si>
    <t>◆Mode 0</t>
    <phoneticPr fontId="1"/>
  </si>
  <si>
    <t>◆Mode 1</t>
    <phoneticPr fontId="1"/>
  </si>
  <si>
    <t>◆Mode 2</t>
    <phoneticPr fontId="1"/>
  </si>
  <si>
    <t>◆Mode 3</t>
    <phoneticPr fontId="1"/>
  </si>
  <si>
    <t xml:space="preserve"> 0:00 -  1:00</t>
  </si>
  <si>
    <t xml:space="preserve"> 0:00 -  1:00</t>
    <phoneticPr fontId="1"/>
  </si>
  <si>
    <t xml:space="preserve"> 1:00 -  2:00</t>
  </si>
  <si>
    <t xml:space="preserve"> 1:00 -  2:00</t>
    <phoneticPr fontId="1"/>
  </si>
  <si>
    <t xml:space="preserve"> 2:00 -  3:00</t>
  </si>
  <si>
    <t xml:space="preserve"> 2:00 -  3:00</t>
    <phoneticPr fontId="1"/>
  </si>
  <si>
    <t xml:space="preserve"> 3:00 -  4:00</t>
  </si>
  <si>
    <t xml:space="preserve"> 3:00 -  4:00</t>
    <phoneticPr fontId="1"/>
  </si>
  <si>
    <t xml:space="preserve"> 4:00 -  5:00</t>
  </si>
  <si>
    <t xml:space="preserve"> 4:00 -  5:00</t>
    <phoneticPr fontId="1"/>
  </si>
  <si>
    <t xml:space="preserve"> 5:00 -  6:00</t>
  </si>
  <si>
    <t xml:space="preserve"> 5:00 -  6:00</t>
    <phoneticPr fontId="1"/>
  </si>
  <si>
    <t xml:space="preserve"> 6:00 -  7:00</t>
  </si>
  <si>
    <t xml:space="preserve"> 6:00 -  7:00</t>
    <phoneticPr fontId="1"/>
  </si>
  <si>
    <t xml:space="preserve"> 7:00 -  8:00</t>
  </si>
  <si>
    <t xml:space="preserve"> 7:00 -  8:00</t>
    <phoneticPr fontId="1"/>
  </si>
  <si>
    <t xml:space="preserve"> 8:00 -  9:00</t>
  </si>
  <si>
    <t xml:space="preserve"> 8:00 -  9:00</t>
    <phoneticPr fontId="1"/>
  </si>
  <si>
    <t xml:space="preserve"> 9:00 -  10:00</t>
  </si>
  <si>
    <t>23:00 -  0:00</t>
  </si>
  <si>
    <t>23:00 -  0:00</t>
    <phoneticPr fontId="1"/>
  </si>
  <si>
    <t>◆Mode 0, hourly</t>
    <phoneticPr fontId="1"/>
  </si>
  <si>
    <t>◆Mode 1, hourly</t>
    <phoneticPr fontId="1"/>
  </si>
  <si>
    <t>◆Mode 2, hourly</t>
    <phoneticPr fontId="1"/>
  </si>
  <si>
    <t>◆Mode 3, hourly</t>
    <phoneticPr fontId="1"/>
  </si>
  <si>
    <t>家電のモードテーブルを延べ動作時間に変更するツール</t>
    <rPh sb="0" eb="2">
      <t>カデン</t>
    </rPh>
    <rPh sb="11" eb="12">
      <t>ノ</t>
    </rPh>
    <rPh sb="13" eb="15">
      <t>ドウサ</t>
    </rPh>
    <rPh sb="15" eb="17">
      <t>ジカン</t>
    </rPh>
    <rPh sb="18" eb="20">
      <t>ヘンコウ</t>
    </rPh>
    <phoneticPr fontId="1"/>
  </si>
  <si>
    <t>「参考：省エネ基準参考資料_家電・調理.docx」形式専用</t>
    <rPh sb="25" eb="27">
      <t>ケイシキ</t>
    </rPh>
    <rPh sb="27" eb="29">
      <t>センヨウ</t>
    </rPh>
    <phoneticPr fontId="1"/>
  </si>
  <si>
    <t>動作1</t>
    <rPh sb="0" eb="2">
      <t>ドウサ</t>
    </rPh>
    <phoneticPr fontId="1"/>
  </si>
  <si>
    <t>動作2</t>
    <rPh sb="0" eb="2">
      <t>ドウサ</t>
    </rPh>
    <phoneticPr fontId="1"/>
  </si>
  <si>
    <t>動作3</t>
    <rPh sb="0" eb="2">
      <t>ドウサ</t>
    </rPh>
    <phoneticPr fontId="1"/>
  </si>
  <si>
    <t>動作4</t>
    <rPh sb="0" eb="2">
      <t>ドウサ</t>
    </rPh>
    <phoneticPr fontId="1"/>
  </si>
  <si>
    <t>◇modeの出力先(動作番号)</t>
    <rPh sb="6" eb="8">
      <t>シュツリョク</t>
    </rPh>
    <rPh sb="8" eb="9">
      <t>サキ</t>
    </rPh>
    <rPh sb="10" eb="12">
      <t>ドウサ</t>
    </rPh>
    <rPh sb="12" eb="14">
      <t>バンゴウ</t>
    </rPh>
    <phoneticPr fontId="1"/>
  </si>
  <si>
    <t>動作名1</t>
    <rPh sb="0" eb="2">
      <t>ドウサ</t>
    </rPh>
    <rPh sb="2" eb="3">
      <t>メイ</t>
    </rPh>
    <phoneticPr fontId="1"/>
  </si>
  <si>
    <t>動作名2</t>
    <rPh sb="0" eb="2">
      <t>ドウサ</t>
    </rPh>
    <rPh sb="2" eb="3">
      <t>メイ</t>
    </rPh>
    <phoneticPr fontId="1"/>
  </si>
  <si>
    <t>動作名3</t>
    <rPh sb="0" eb="2">
      <t>ドウサ</t>
    </rPh>
    <rPh sb="2" eb="3">
      <t>メイ</t>
    </rPh>
    <phoneticPr fontId="1"/>
  </si>
  <si>
    <t>動作名4</t>
    <rPh sb="0" eb="2">
      <t>ドウサ</t>
    </rPh>
    <rPh sb="2" eb="3">
      <t>メイ</t>
    </rPh>
    <phoneticPr fontId="1"/>
  </si>
  <si>
    <t>mode 0 出力先　動作番号</t>
    <rPh sb="7" eb="9">
      <t>シュツリョク</t>
    </rPh>
    <rPh sb="9" eb="10">
      <t>サキ</t>
    </rPh>
    <rPh sb="11" eb="13">
      <t>ドウサ</t>
    </rPh>
    <rPh sb="13" eb="15">
      <t>バンゴウ</t>
    </rPh>
    <phoneticPr fontId="1"/>
  </si>
  <si>
    <t>mode 1 出力先　動作番号</t>
    <rPh sb="7" eb="9">
      <t>シュツリョク</t>
    </rPh>
    <rPh sb="9" eb="10">
      <t>サキ</t>
    </rPh>
    <rPh sb="11" eb="13">
      <t>ドウサ</t>
    </rPh>
    <rPh sb="13" eb="15">
      <t>バンゴウ</t>
    </rPh>
    <phoneticPr fontId="1"/>
  </si>
  <si>
    <t>mode 2 出力先　動作番号</t>
    <rPh sb="7" eb="9">
      <t>シュツリョク</t>
    </rPh>
    <rPh sb="9" eb="10">
      <t>サキ</t>
    </rPh>
    <rPh sb="11" eb="13">
      <t>ドウサ</t>
    </rPh>
    <rPh sb="13" eb="15">
      <t>バンゴウ</t>
    </rPh>
    <phoneticPr fontId="1"/>
  </si>
  <si>
    <t>mode 3 出力先　動作番号</t>
    <rPh sb="7" eb="9">
      <t>シュツリョク</t>
    </rPh>
    <rPh sb="9" eb="10">
      <t>サキ</t>
    </rPh>
    <rPh sb="11" eb="13">
      <t>ドウサ</t>
    </rPh>
    <rPh sb="13" eb="15">
      <t>バンゴウ</t>
    </rPh>
    <phoneticPr fontId="1"/>
  </si>
  <si>
    <t>◆Mode all, hourly</t>
    <phoneticPr fontId="1"/>
  </si>
  <si>
    <t>◇check values</t>
    <phoneticPr fontId="1"/>
  </si>
  <si>
    <t>テレビ（居間）</t>
    <rPh sb="4" eb="6">
      <t>イマ</t>
    </rPh>
    <phoneticPr fontId="1"/>
  </si>
  <si>
    <t>液晶テレビ（洋室1）</t>
    <rPh sb="0" eb="2">
      <t>エキショウ</t>
    </rPh>
    <rPh sb="6" eb="8">
      <t>ヨウシツ</t>
    </rPh>
    <phoneticPr fontId="1"/>
  </si>
  <si>
    <t xml:space="preserve"> 9:00 - 10:00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</si>
</sst>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4" formatCode="h:mm;@"/>
  </numFmts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9"/>
      <color theme="1"/>
      <name val="ＭＳ Ｐ明朝"/>
      <family val="1"/>
      <charset val="128"/>
    </font>
    <font>
      <sz val="9"/>
      <color rgb="FF000000"/>
      <name val="ＭＳ Ｐ明朝"/>
      <family val="1"/>
      <charset val="128"/>
    </font>
    <font>
      <sz val="9"/>
      <color theme="1"/>
      <name val="メイリオ"/>
      <family val="3"/>
      <charset val="128"/>
    </font>
    <font>
      <sz val="12"/>
      <color theme="1"/>
      <name val="メイリオ"/>
      <family val="3"/>
      <charset val="128"/>
    </font>
    <font>
      <b/>
      <sz val="9"/>
      <color theme="1"/>
      <name val="メイリオ"/>
      <family val="3"/>
      <charset val="128"/>
    </font>
    <font>
      <sz val="9"/>
      <color theme="0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20" fontId="2" fillId="0" borderId="5" xfId="0" applyNumberFormat="1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4" fillId="0" borderId="0" xfId="0" applyFont="1"/>
    <xf numFmtId="0" fontId="4" fillId="3" borderId="1" xfId="0" applyFont="1" applyFill="1" applyBorder="1" applyAlignment="1">
      <alignment horizontal="center"/>
    </xf>
    <xf numFmtId="0" fontId="4" fillId="3" borderId="1" xfId="0" applyFont="1" applyFill="1" applyBorder="1"/>
    <xf numFmtId="184" fontId="4" fillId="3" borderId="1" xfId="0" applyNumberFormat="1" applyFont="1" applyFill="1" applyBorder="1"/>
    <xf numFmtId="20" fontId="4" fillId="3" borderId="1" xfId="0" applyNumberFormat="1" applyFont="1" applyFill="1" applyBorder="1"/>
    <xf numFmtId="20" fontId="4" fillId="0" borderId="0" xfId="0" applyNumberFormat="1" applyFont="1"/>
    <xf numFmtId="0" fontId="4" fillId="5" borderId="0" xfId="0" applyFont="1" applyFill="1"/>
    <xf numFmtId="0" fontId="5" fillId="5" borderId="0" xfId="0" applyFont="1" applyFill="1"/>
    <xf numFmtId="0" fontId="6" fillId="0" borderId="8" xfId="0" applyFont="1" applyBorder="1" applyAlignment="1">
      <alignment horizontal="center"/>
    </xf>
    <xf numFmtId="0" fontId="4" fillId="0" borderId="1" xfId="0" applyFont="1" applyBorder="1"/>
    <xf numFmtId="0" fontId="4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/>
    </xf>
    <xf numFmtId="49" fontId="4" fillId="0" borderId="0" xfId="0" applyNumberFormat="1" applyFont="1"/>
    <xf numFmtId="0" fontId="7" fillId="6" borderId="0" xfId="0" applyFont="1" applyFill="1"/>
    <xf numFmtId="0" fontId="7" fillId="6" borderId="1" xfId="0" applyFont="1" applyFill="1" applyBorder="1" applyAlignment="1">
      <alignment horizontal="center"/>
    </xf>
    <xf numFmtId="0" fontId="7" fillId="6" borderId="1" xfId="0" applyFont="1" applyFill="1" applyBorder="1"/>
    <xf numFmtId="184" fontId="7" fillId="6" borderId="1" xfId="0" applyNumberFormat="1" applyFont="1" applyFill="1" applyBorder="1"/>
    <xf numFmtId="20" fontId="7" fillId="6" borderId="1" xfId="0" applyNumberFormat="1" applyFont="1" applyFill="1" applyBorder="1"/>
  </cellXfs>
  <cellStyles count="1">
    <cellStyle name="標準" xfId="0" builtinId="0"/>
  </cellStyles>
  <dxfs count="1"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819150</xdr:colOff>
      <xdr:row>1</xdr:row>
      <xdr:rowOff>38100</xdr:rowOff>
    </xdr:from>
    <xdr:to>
      <xdr:col>27</xdr:col>
      <xdr:colOff>219075</xdr:colOff>
      <xdr:row>3</xdr:row>
      <xdr:rowOff>0</xdr:rowOff>
    </xdr:to>
    <xdr:sp macro="[0]!convertModeToHour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A20417E2-3E76-48A0-B685-38984F56CFD0}"/>
            </a:ext>
          </a:extLst>
        </xdr:cNvPr>
        <xdr:cNvSpPr/>
      </xdr:nvSpPr>
      <xdr:spPr>
        <a:xfrm>
          <a:off x="11677650" y="133350"/>
          <a:ext cx="106680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Convert</a:t>
          </a:r>
          <a:endParaRPr kumimoji="1" lang="ja-JP" altLang="en-US" sz="1100"/>
        </a:p>
      </xdr:txBody>
    </xdr:sp>
    <xdr:clientData/>
  </xdr:twoCellAnchor>
  <xdr:twoCellAnchor>
    <xdr:from>
      <xdr:col>27</xdr:col>
      <xdr:colOff>381000</xdr:colOff>
      <xdr:row>1</xdr:row>
      <xdr:rowOff>38100</xdr:rowOff>
    </xdr:from>
    <xdr:to>
      <xdr:col>29</xdr:col>
      <xdr:colOff>57150</xdr:colOff>
      <xdr:row>3</xdr:row>
      <xdr:rowOff>0</xdr:rowOff>
    </xdr:to>
    <xdr:sp macro="[0]!createTextFileOfAdocTableData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461F0410-83D7-42A2-8FE1-BF2F0A6FC852}"/>
            </a:ext>
          </a:extLst>
        </xdr:cNvPr>
        <xdr:cNvSpPr/>
      </xdr:nvSpPr>
      <xdr:spPr>
        <a:xfrm>
          <a:off x="12906375" y="133350"/>
          <a:ext cx="1066800" cy="41910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Create Txt</a:t>
          </a:r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1</xdr:row>
      <xdr:rowOff>38100</xdr:rowOff>
    </xdr:from>
    <xdr:to>
      <xdr:col>25</xdr:col>
      <xdr:colOff>647700</xdr:colOff>
      <xdr:row>3</xdr:row>
      <xdr:rowOff>0</xdr:rowOff>
    </xdr:to>
    <xdr:sp macro="[0]!both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F22190B6-2F4F-43B4-876B-BD1500AEB364}"/>
            </a:ext>
          </a:extLst>
        </xdr:cNvPr>
        <xdr:cNvSpPr/>
      </xdr:nvSpPr>
      <xdr:spPr>
        <a:xfrm>
          <a:off x="10439400" y="133350"/>
          <a:ext cx="1066800" cy="4191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Both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48683-35AD-47EA-B396-8459CF090CFB}">
  <sheetPr codeName="Sheet1"/>
  <dimension ref="B1:CY295"/>
  <sheetViews>
    <sheetView tabSelected="1" workbookViewId="0">
      <selection activeCell="S9" sqref="S9"/>
    </sheetView>
  </sheetViews>
  <sheetFormatPr defaultColWidth="2.75" defaultRowHeight="16.5" customHeight="1"/>
  <cols>
    <col min="1" max="3" width="2.75" style="10"/>
    <col min="4" max="4" width="4.25" style="10" bestFit="1" customWidth="1"/>
    <col min="5" max="5" width="21" style="10" bestFit="1" customWidth="1"/>
    <col min="6" max="9" width="7" style="10" bestFit="1" customWidth="1"/>
    <col min="10" max="12" width="2.75" style="10"/>
    <col min="13" max="16" width="5.5" style="10" bestFit="1" customWidth="1"/>
    <col min="17" max="18" width="2.75" style="10"/>
    <col min="19" max="22" width="7.375" style="10" bestFit="1" customWidth="1"/>
    <col min="23" max="25" width="2.75" style="10"/>
    <col min="26" max="26" width="18.875" style="10" bestFit="1" customWidth="1"/>
    <col min="27" max="27" width="3" style="10" bestFit="1" customWidth="1"/>
    <col min="28" max="28" width="12.25" style="10" bestFit="1" customWidth="1"/>
    <col min="29" max="29" width="6" style="10" bestFit="1" customWidth="1"/>
    <col min="30" max="33" width="2.75" style="10"/>
    <col min="34" max="34" width="3.25" style="10" bestFit="1" customWidth="1"/>
    <col min="35" max="35" width="10.375" style="10" customWidth="1"/>
    <col min="36" max="38" width="7.5" style="10" customWidth="1"/>
    <col min="39" max="41" width="2.75" style="10"/>
    <col min="42" max="42" width="3.25" style="10" bestFit="1" customWidth="1"/>
    <col min="43" max="43" width="5.625" style="10" bestFit="1" customWidth="1"/>
    <col min="44" max="46" width="7.5" style="10" customWidth="1"/>
    <col min="47" max="49" width="2.75" style="10"/>
    <col min="50" max="50" width="3.25" style="10" bestFit="1" customWidth="1"/>
    <col min="51" max="51" width="5.625" style="10" bestFit="1" customWidth="1"/>
    <col min="52" max="54" width="7.5" style="10" customWidth="1"/>
    <col min="55" max="56" width="2.75" style="10"/>
    <col min="57" max="57" width="3.25" style="10" bestFit="1" customWidth="1"/>
    <col min="58" max="58" width="5.625" style="10" bestFit="1" customWidth="1"/>
    <col min="59" max="61" width="7.5" style="10" customWidth="1"/>
    <col min="62" max="63" width="2.75" style="10"/>
    <col min="64" max="64" width="3.25" style="10" bestFit="1" customWidth="1"/>
    <col min="65" max="65" width="5.625" style="10" bestFit="1" customWidth="1"/>
    <col min="66" max="68" width="7.5" style="10" customWidth="1"/>
    <col min="69" max="70" width="2.75" style="10"/>
    <col min="71" max="71" width="3.25" style="10" bestFit="1" customWidth="1"/>
    <col min="72" max="72" width="5.625" style="10" bestFit="1" customWidth="1"/>
    <col min="73" max="75" width="7.5" style="10" customWidth="1"/>
    <col min="76" max="77" width="2.75" style="10"/>
    <col min="78" max="78" width="3.25" style="10" bestFit="1" customWidth="1"/>
    <col min="79" max="79" width="10.375" style="10" customWidth="1"/>
    <col min="80" max="82" width="7.5" style="10" customWidth="1"/>
    <col min="83" max="84" width="2.75" style="10"/>
    <col min="85" max="85" width="3.25" style="10" bestFit="1" customWidth="1"/>
    <col min="86" max="86" width="10.375" style="10" customWidth="1"/>
    <col min="87" max="89" width="7.5" style="10" customWidth="1"/>
    <col min="90" max="91" width="2.75" style="10"/>
    <col min="92" max="92" width="3.25" style="10" bestFit="1" customWidth="1"/>
    <col min="93" max="93" width="10.375" style="10" customWidth="1"/>
    <col min="94" max="96" width="7.5" style="10" customWidth="1"/>
    <col min="97" max="98" width="2.75" style="10"/>
    <col min="99" max="99" width="3.25" style="10" bestFit="1" customWidth="1"/>
    <col min="100" max="100" width="10.375" style="10" customWidth="1"/>
    <col min="101" max="103" width="7.5" style="10" customWidth="1"/>
    <col min="104" max="16384" width="2.75" style="10"/>
  </cols>
  <sheetData>
    <row r="1" spans="2:103" s="16" customFormat="1" ht="7.5" customHeight="1"/>
    <row r="2" spans="2:103" s="16" customFormat="1" ht="19.5">
      <c r="B2" s="17" t="s">
        <v>133</v>
      </c>
    </row>
    <row r="3" spans="2:103" s="16" customFormat="1" ht="16.5" customHeight="1">
      <c r="B3" s="16" t="s">
        <v>134</v>
      </c>
    </row>
    <row r="4" spans="2:103" s="16" customFormat="1" ht="7.5" customHeight="1"/>
    <row r="6" spans="2:103" ht="16.5" customHeight="1">
      <c r="C6" s="10" t="s">
        <v>45</v>
      </c>
      <c r="K6" s="10" t="s">
        <v>86</v>
      </c>
      <c r="AE6" s="10" t="s">
        <v>97</v>
      </c>
    </row>
    <row r="7" spans="2:103" ht="16.5" customHeight="1">
      <c r="L7" s="10" t="s">
        <v>87</v>
      </c>
      <c r="R7" s="10" t="s">
        <v>139</v>
      </c>
      <c r="X7" s="10" t="s">
        <v>88</v>
      </c>
      <c r="AF7" s="10" t="s">
        <v>149</v>
      </c>
      <c r="AN7" s="10" t="s">
        <v>98</v>
      </c>
      <c r="AV7" s="10" t="s">
        <v>103</v>
      </c>
    </row>
    <row r="8" spans="2:103" ht="16.5" customHeight="1">
      <c r="D8" s="18" t="s">
        <v>46</v>
      </c>
      <c r="E8" s="18" t="s">
        <v>49</v>
      </c>
      <c r="F8" s="18" t="s">
        <v>63</v>
      </c>
      <c r="G8" s="18" t="s">
        <v>64</v>
      </c>
      <c r="H8" s="18" t="s">
        <v>65</v>
      </c>
      <c r="I8" s="18" t="s">
        <v>66</v>
      </c>
      <c r="M8" s="18" t="s">
        <v>135</v>
      </c>
      <c r="N8" s="18" t="s">
        <v>136</v>
      </c>
      <c r="O8" s="18" t="s">
        <v>137</v>
      </c>
      <c r="P8" s="18" t="s">
        <v>138</v>
      </c>
      <c r="S8" s="18" t="s">
        <v>63</v>
      </c>
      <c r="T8" s="18" t="s">
        <v>64</v>
      </c>
      <c r="U8" s="18" t="s">
        <v>65</v>
      </c>
      <c r="V8" s="18" t="s">
        <v>66</v>
      </c>
      <c r="Y8" s="10" t="s">
        <v>92</v>
      </c>
      <c r="AG8" s="10" t="s">
        <v>148</v>
      </c>
      <c r="AW8" s="10" t="s">
        <v>104</v>
      </c>
      <c r="BD8" s="10" t="s">
        <v>105</v>
      </c>
      <c r="BK8" s="10" t="s">
        <v>106</v>
      </c>
      <c r="BR8" s="10" t="s">
        <v>107</v>
      </c>
      <c r="BY8" s="10" t="s">
        <v>129</v>
      </c>
      <c r="CF8" s="10" t="s">
        <v>130</v>
      </c>
      <c r="CM8" s="10" t="s">
        <v>131</v>
      </c>
      <c r="CT8" s="10" t="s">
        <v>132</v>
      </c>
    </row>
    <row r="9" spans="2:103" ht="16.5" customHeight="1">
      <c r="D9" s="19" t="s">
        <v>47</v>
      </c>
      <c r="E9" s="19" t="s">
        <v>50</v>
      </c>
      <c r="F9" s="19"/>
      <c r="G9" s="19" t="s">
        <v>67</v>
      </c>
      <c r="H9" s="19" t="s">
        <v>68</v>
      </c>
      <c r="I9" s="19" t="s">
        <v>69</v>
      </c>
      <c r="M9" s="19" t="s">
        <v>67</v>
      </c>
      <c r="N9" s="19" t="s">
        <v>81</v>
      </c>
      <c r="O9" s="19"/>
      <c r="P9" s="19"/>
      <c r="S9" s="19"/>
      <c r="T9" s="19">
        <v>1</v>
      </c>
      <c r="U9" s="19">
        <v>2</v>
      </c>
      <c r="V9" s="19">
        <v>2</v>
      </c>
      <c r="Z9" s="10" t="s">
        <v>102</v>
      </c>
      <c r="AA9" s="10" t="s">
        <v>89</v>
      </c>
      <c r="AB9" s="21" t="s">
        <v>36</v>
      </c>
      <c r="AH9" s="23"/>
      <c r="AI9" s="23"/>
      <c r="AJ9" s="24" t="s">
        <v>1</v>
      </c>
      <c r="AK9" s="24" t="s">
        <v>3</v>
      </c>
      <c r="AL9" s="24" t="s">
        <v>5</v>
      </c>
      <c r="AR9" s="11" t="s">
        <v>1</v>
      </c>
      <c r="AS9" s="11" t="s">
        <v>3</v>
      </c>
      <c r="AT9" s="11" t="s">
        <v>5</v>
      </c>
      <c r="AZ9" s="11" t="s">
        <v>1</v>
      </c>
      <c r="BA9" s="11" t="s">
        <v>3</v>
      </c>
      <c r="BB9" s="11" t="s">
        <v>5</v>
      </c>
      <c r="BG9" s="11" t="s">
        <v>1</v>
      </c>
      <c r="BH9" s="11" t="s">
        <v>3</v>
      </c>
      <c r="BI9" s="11" t="s">
        <v>5</v>
      </c>
      <c r="BN9" s="11" t="s">
        <v>1</v>
      </c>
      <c r="BO9" s="11" t="s">
        <v>3</v>
      </c>
      <c r="BP9" s="11" t="s">
        <v>5</v>
      </c>
      <c r="BU9" s="11" t="s">
        <v>1</v>
      </c>
      <c r="BV9" s="11" t="s">
        <v>3</v>
      </c>
      <c r="BW9" s="11" t="s">
        <v>5</v>
      </c>
      <c r="CB9" s="11" t="s">
        <v>1</v>
      </c>
      <c r="CC9" s="11" t="s">
        <v>3</v>
      </c>
      <c r="CD9" s="11" t="s">
        <v>5</v>
      </c>
      <c r="CI9" s="11" t="s">
        <v>1</v>
      </c>
      <c r="CJ9" s="11" t="s">
        <v>3</v>
      </c>
      <c r="CK9" s="11" t="s">
        <v>5</v>
      </c>
      <c r="CP9" s="11" t="s">
        <v>1</v>
      </c>
      <c r="CQ9" s="11" t="s">
        <v>3</v>
      </c>
      <c r="CR9" s="11" t="s">
        <v>5</v>
      </c>
      <c r="CW9" s="11" t="s">
        <v>1</v>
      </c>
      <c r="CX9" s="11" t="s">
        <v>3</v>
      </c>
      <c r="CY9" s="11" t="s">
        <v>5</v>
      </c>
    </row>
    <row r="10" spans="2:103" ht="16.5" customHeight="1">
      <c r="D10" s="19" t="s">
        <v>48</v>
      </c>
      <c r="E10" s="19" t="s">
        <v>51</v>
      </c>
      <c r="F10" s="19" t="s">
        <v>70</v>
      </c>
      <c r="G10" s="19" t="s">
        <v>71</v>
      </c>
      <c r="H10" s="19"/>
      <c r="I10" s="19"/>
      <c r="M10" s="19" t="s">
        <v>101</v>
      </c>
      <c r="N10" s="19"/>
      <c r="O10" s="19"/>
      <c r="P10" s="19"/>
      <c r="S10" s="19"/>
      <c r="T10" s="19">
        <v>1</v>
      </c>
      <c r="U10" s="19"/>
      <c r="V10" s="19"/>
      <c r="Z10" s="10" t="s">
        <v>90</v>
      </c>
      <c r="AA10" s="10" t="s">
        <v>89</v>
      </c>
      <c r="AB10" s="21">
        <v>2</v>
      </c>
      <c r="AC10" s="10" t="s">
        <v>91</v>
      </c>
      <c r="AH10" s="25">
        <v>1</v>
      </c>
      <c r="AI10" s="26" t="s">
        <v>108</v>
      </c>
      <c r="AJ10" s="25">
        <f ca="1">CB10+CI10+CP10+CW10</f>
        <v>1</v>
      </c>
      <c r="AK10" s="25">
        <f ca="1">CC10+CJ10+CQ10+CX10</f>
        <v>1</v>
      </c>
      <c r="AL10" s="25">
        <f ca="1">CD10+CK10+CR10+CY10</f>
        <v>1</v>
      </c>
      <c r="AP10" s="12">
        <v>1</v>
      </c>
      <c r="AQ10" s="13">
        <v>36892</v>
      </c>
      <c r="AR10" s="12" cm="1">
        <f t="array" aca="1" ref="AR10" ca="1">INDIRECT(ADDRESS(2+$AP10,1+MATCH($AB$9,INDIRECT($AB$16&amp;"!$B$2:$R$2"),0),1,1,$AB$16))</f>
        <v>0</v>
      </c>
      <c r="AS10" s="12" cm="1">
        <f t="array" aca="1" ref="AS10" ca="1">INDIRECT(ADDRESS(2+$AP10,1+MATCH($AB$9,INDIRECT($AB$17&amp;"!$B$2:$R$2"),0),1,1,$AB$17))</f>
        <v>0</v>
      </c>
      <c r="AT10" s="12" cm="1">
        <f t="array" aca="1" ref="AT10" ca="1">INDIRECT(ADDRESS(2+$AP10,1+MATCH($AB$9,INDIRECT($AB$18&amp;"!$B$2:$R$2"),0),1,1,$AB$18))</f>
        <v>0</v>
      </c>
      <c r="AX10" s="12">
        <v>1</v>
      </c>
      <c r="AY10" s="13">
        <v>36892</v>
      </c>
      <c r="AZ10" s="12" t="b">
        <f ca="1">IF($AR10=0,TRUE,"")</f>
        <v>1</v>
      </c>
      <c r="BA10" s="12" t="b">
        <f ca="1">IF($AS10=0,TRUE,"")</f>
        <v>1</v>
      </c>
      <c r="BB10" s="12" t="b">
        <f ca="1">IF($AT10=0,TRUE,"")</f>
        <v>1</v>
      </c>
      <c r="BE10" s="12">
        <v>1</v>
      </c>
      <c r="BF10" s="13">
        <v>36892</v>
      </c>
      <c r="BG10" s="12" t="str">
        <f ca="1">IF($AR10=1,TRUE,"")</f>
        <v/>
      </c>
      <c r="BH10" s="12" t="str">
        <f ca="1">IF($AS10=1,TRUE,"")</f>
        <v/>
      </c>
      <c r="BI10" s="12" t="str">
        <f ca="1">IF($AT10=1,TRUE,"")</f>
        <v/>
      </c>
      <c r="BL10" s="12">
        <v>1</v>
      </c>
      <c r="BM10" s="13">
        <v>36892</v>
      </c>
      <c r="BN10" s="12" t="str">
        <f ca="1">IF($AR10=2,TRUE,"")</f>
        <v/>
      </c>
      <c r="BO10" s="12" t="str">
        <f ca="1">IF($AS10=2,TRUE,"")</f>
        <v/>
      </c>
      <c r="BP10" s="12" t="str">
        <f ca="1">IF($AT10=2,TRUE,"")</f>
        <v/>
      </c>
      <c r="BS10" s="12">
        <v>1</v>
      </c>
      <c r="BT10" s="13">
        <v>36892</v>
      </c>
      <c r="BU10" s="12" t="str">
        <f ca="1">IF($AR10=3,TRUE,"")</f>
        <v/>
      </c>
      <c r="BV10" s="12" t="str">
        <f ca="1">IF($AS10=3,TRUE,"")</f>
        <v/>
      </c>
      <c r="BW10" s="12" t="str">
        <f ca="1">IF($AT10=3,TRUE,"")</f>
        <v/>
      </c>
      <c r="BZ10" s="12">
        <v>1</v>
      </c>
      <c r="CA10" s="13" t="s">
        <v>108</v>
      </c>
      <c r="CB10" s="12">
        <f ca="1">COUNTIF(AZ10:AZ13,TRUE)/4</f>
        <v>1</v>
      </c>
      <c r="CC10" s="12">
        <f t="shared" ref="CC10:CD10" ca="1" si="0">COUNTIF(BA10:BA13,TRUE)/4</f>
        <v>1</v>
      </c>
      <c r="CD10" s="12">
        <f t="shared" ca="1" si="0"/>
        <v>1</v>
      </c>
      <c r="CG10" s="12">
        <v>1</v>
      </c>
      <c r="CH10" s="13" t="s">
        <v>108</v>
      </c>
      <c r="CI10" s="12">
        <f ca="1">COUNTIF(BG10:BG13,TRUE)/4</f>
        <v>0</v>
      </c>
      <c r="CJ10" s="12">
        <f t="shared" ref="CJ10" ca="1" si="1">COUNTIF(BH10:BH13,TRUE)/4</f>
        <v>0</v>
      </c>
      <c r="CK10" s="12">
        <f t="shared" ref="CK10" ca="1" si="2">COUNTIF(BI10:BI13,TRUE)/4</f>
        <v>0</v>
      </c>
      <c r="CN10" s="12">
        <v>1</v>
      </c>
      <c r="CO10" s="13" t="s">
        <v>108</v>
      </c>
      <c r="CP10" s="12">
        <f ca="1">COUNTIF(BN10:BN13,TRUE)/4</f>
        <v>0</v>
      </c>
      <c r="CQ10" s="12">
        <f t="shared" ref="CQ10" ca="1" si="3">COUNTIF(BO10:BO13,TRUE)/4</f>
        <v>0</v>
      </c>
      <c r="CR10" s="12">
        <f t="shared" ref="CR10" ca="1" si="4">COUNTIF(BP10:BP13,TRUE)/4</f>
        <v>0</v>
      </c>
      <c r="CU10" s="12">
        <v>1</v>
      </c>
      <c r="CV10" s="13" t="s">
        <v>108</v>
      </c>
      <c r="CW10" s="12">
        <f ca="1">COUNTIF(BU10:BU13,TRUE)/4</f>
        <v>0</v>
      </c>
      <c r="CX10" s="12">
        <f t="shared" ref="CX10" ca="1" si="5">COUNTIF(BV10:BV13,TRUE)/4</f>
        <v>0</v>
      </c>
      <c r="CY10" s="12">
        <f t="shared" ref="CY10" ca="1" si="6">COUNTIF(BW10:BW13,TRUE)/4</f>
        <v>0</v>
      </c>
    </row>
    <row r="11" spans="2:103" ht="16.5" customHeight="1">
      <c r="D11" s="19" t="s">
        <v>30</v>
      </c>
      <c r="E11" s="19" t="s">
        <v>52</v>
      </c>
      <c r="F11" s="19" t="s">
        <v>70</v>
      </c>
      <c r="G11" s="19" t="s">
        <v>72</v>
      </c>
      <c r="H11" s="19"/>
      <c r="I11" s="19"/>
      <c r="M11" s="19" t="s">
        <v>72</v>
      </c>
      <c r="N11" s="19"/>
      <c r="O11" s="19"/>
      <c r="P11" s="19"/>
      <c r="S11" s="19"/>
      <c r="T11" s="19">
        <v>1</v>
      </c>
      <c r="U11" s="19"/>
      <c r="V11" s="19"/>
      <c r="AH11" s="25">
        <v>2</v>
      </c>
      <c r="AI11" s="27" t="s">
        <v>110</v>
      </c>
      <c r="AJ11" s="25">
        <f ca="1">CB11+CI11+CP11+CW11</f>
        <v>1</v>
      </c>
      <c r="AK11" s="25">
        <f ca="1">CC11+CJ11+CQ11+CX11</f>
        <v>1</v>
      </c>
      <c r="AL11" s="25">
        <f ca="1">CD11+CK11+CR11+CY11</f>
        <v>1</v>
      </c>
      <c r="AP11" s="12">
        <v>2</v>
      </c>
      <c r="AQ11" s="14">
        <f>AQ10+1/24/4</f>
        <v>36892.010416666664</v>
      </c>
      <c r="AR11" s="12" cm="1">
        <f t="array" aca="1" ref="AR11" ca="1">INDIRECT(ADDRESS(2+$AP11,1+MATCH($AB$9,INDIRECT($AB$16&amp;"!$B$2:$R$2"),0),1,1,$AB$16))</f>
        <v>0</v>
      </c>
      <c r="AS11" s="12" cm="1">
        <f t="array" aca="1" ref="AS11" ca="1">INDIRECT(ADDRESS(2+$AP11,1+MATCH($AB$9,INDIRECT($AB$17&amp;"!$B$2:$R$2"),0),1,1,$AB$17))</f>
        <v>0</v>
      </c>
      <c r="AT11" s="12" cm="1">
        <f t="array" aca="1" ref="AT11" ca="1">INDIRECT(ADDRESS(2+$AP11,1+MATCH($AB$9,INDIRECT($AB$18&amp;"!$B$2:$R$2"),0),1,1,$AB$18))</f>
        <v>0</v>
      </c>
      <c r="AX11" s="12">
        <v>2</v>
      </c>
      <c r="AY11" s="14">
        <f>AY10+1/24/4</f>
        <v>36892.010416666664</v>
      </c>
      <c r="AZ11" s="12" t="b">
        <f t="shared" ref="AZ11:AZ74" ca="1" si="7">IF($AR11=0,TRUE,"")</f>
        <v>1</v>
      </c>
      <c r="BA11" s="12" t="b">
        <f t="shared" ref="BA11:BA74" ca="1" si="8">IF($AS11=0,TRUE,"")</f>
        <v>1</v>
      </c>
      <c r="BB11" s="12" t="b">
        <f t="shared" ref="BB11:BB74" ca="1" si="9">IF($AT11=0,TRUE,"")</f>
        <v>1</v>
      </c>
      <c r="BE11" s="12">
        <v>2</v>
      </c>
      <c r="BF11" s="14">
        <f>BF10+1/24/4</f>
        <v>36892.010416666664</v>
      </c>
      <c r="BG11" s="12" t="str">
        <f t="shared" ref="BG11:BG74" ca="1" si="10">IF($AR11=1,TRUE,"")</f>
        <v/>
      </c>
      <c r="BH11" s="12" t="str">
        <f t="shared" ref="BH11:BH74" ca="1" si="11">IF($AS11=1,TRUE,"")</f>
        <v/>
      </c>
      <c r="BI11" s="12" t="str">
        <f t="shared" ref="BI11:BI74" ca="1" si="12">IF($AT11=1,TRUE,"")</f>
        <v/>
      </c>
      <c r="BL11" s="12">
        <v>2</v>
      </c>
      <c r="BM11" s="14">
        <f>BM10+1/24/4</f>
        <v>36892.010416666664</v>
      </c>
      <c r="BN11" s="12" t="str">
        <f t="shared" ref="BN11:BN74" ca="1" si="13">IF($AR11=2,TRUE,"")</f>
        <v/>
      </c>
      <c r="BO11" s="12" t="str">
        <f t="shared" ref="BO11:BO74" ca="1" si="14">IF($AS11=2,TRUE,"")</f>
        <v/>
      </c>
      <c r="BP11" s="12" t="str">
        <f t="shared" ref="BP11:BP74" ca="1" si="15">IF($AT11=2,TRUE,"")</f>
        <v/>
      </c>
      <c r="BS11" s="12">
        <v>2</v>
      </c>
      <c r="BT11" s="14">
        <f>BT10+1/24/4</f>
        <v>36892.010416666664</v>
      </c>
      <c r="BU11" s="12" t="str">
        <f t="shared" ref="BU11:BU74" ca="1" si="16">IF($AR11=3,TRUE,"")</f>
        <v/>
      </c>
      <c r="BV11" s="12" t="str">
        <f t="shared" ref="BV11:BV74" ca="1" si="17">IF($AS11=3,TRUE,"")</f>
        <v/>
      </c>
      <c r="BW11" s="12" t="str">
        <f t="shared" ref="BW11:BW74" ca="1" si="18">IF($AT11=3,TRUE,"")</f>
        <v/>
      </c>
      <c r="BZ11" s="12">
        <v>2</v>
      </c>
      <c r="CA11" s="14" t="s">
        <v>110</v>
      </c>
      <c r="CB11" s="12">
        <f ca="1">COUNTIF(AZ14:AZ17,TRUE)/4</f>
        <v>1</v>
      </c>
      <c r="CC11" s="12">
        <f t="shared" ref="CC11:CD11" ca="1" si="19">COUNTIF(BA14:BA17,TRUE)/4</f>
        <v>1</v>
      </c>
      <c r="CD11" s="12">
        <f t="shared" ca="1" si="19"/>
        <v>1</v>
      </c>
      <c r="CG11" s="12">
        <v>2</v>
      </c>
      <c r="CH11" s="14" t="s">
        <v>110</v>
      </c>
      <c r="CI11" s="12">
        <f ca="1">COUNTIF(BG14:BG17,TRUE)/4</f>
        <v>0</v>
      </c>
      <c r="CJ11" s="12">
        <f t="shared" ref="CJ11" ca="1" si="20">COUNTIF(BH14:BH17,TRUE)/4</f>
        <v>0</v>
      </c>
      <c r="CK11" s="12">
        <f t="shared" ref="CK11" ca="1" si="21">COUNTIF(BI14:BI17,TRUE)/4</f>
        <v>0</v>
      </c>
      <c r="CN11" s="12">
        <v>2</v>
      </c>
      <c r="CO11" s="14" t="s">
        <v>110</v>
      </c>
      <c r="CP11" s="12">
        <f ca="1">COUNTIF(BN14:BN17,TRUE)/4</f>
        <v>0</v>
      </c>
      <c r="CQ11" s="12">
        <f t="shared" ref="CQ11" ca="1" si="22">COUNTIF(BO14:BO17,TRUE)/4</f>
        <v>0</v>
      </c>
      <c r="CR11" s="12">
        <f t="shared" ref="CR11" ca="1" si="23">COUNTIF(BP14:BP17,TRUE)/4</f>
        <v>0</v>
      </c>
      <c r="CU11" s="12">
        <v>2</v>
      </c>
      <c r="CV11" s="14" t="s">
        <v>110</v>
      </c>
      <c r="CW11" s="12">
        <f ca="1">COUNTIF(BU14:BU17,TRUE)/4</f>
        <v>0</v>
      </c>
      <c r="CX11" s="12">
        <f t="shared" ref="CX11" ca="1" si="24">COUNTIF(BV14:BV17,TRUE)/4</f>
        <v>0</v>
      </c>
      <c r="CY11" s="12">
        <f t="shared" ref="CY11" ca="1" si="25">COUNTIF(BW14:BW17,TRUE)/4</f>
        <v>0</v>
      </c>
    </row>
    <row r="12" spans="2:103" ht="16.5" customHeight="1">
      <c r="D12" s="19" t="s">
        <v>31</v>
      </c>
      <c r="E12" s="19" t="s">
        <v>53</v>
      </c>
      <c r="F12" s="19" t="s">
        <v>70</v>
      </c>
      <c r="G12" s="19" t="s">
        <v>73</v>
      </c>
      <c r="H12" s="19" t="s">
        <v>74</v>
      </c>
      <c r="I12" s="19"/>
      <c r="M12" s="19" t="s">
        <v>73</v>
      </c>
      <c r="N12" s="19" t="s">
        <v>74</v>
      </c>
      <c r="O12" s="19"/>
      <c r="P12" s="19"/>
      <c r="S12" s="19"/>
      <c r="T12" s="19">
        <v>1</v>
      </c>
      <c r="U12" s="19">
        <v>2</v>
      </c>
      <c r="V12" s="19"/>
      <c r="AH12" s="25">
        <v>3</v>
      </c>
      <c r="AI12" s="27" t="s">
        <v>112</v>
      </c>
      <c r="AJ12" s="25">
        <f ca="1">CB12+CI12+CP12+CW12</f>
        <v>1</v>
      </c>
      <c r="AK12" s="25">
        <f ca="1">CC12+CJ12+CQ12+CX12</f>
        <v>1</v>
      </c>
      <c r="AL12" s="25">
        <f ca="1">CD12+CK12+CR12+CY12</f>
        <v>1</v>
      </c>
      <c r="AP12" s="12">
        <v>3</v>
      </c>
      <c r="AQ12" s="14">
        <f t="shared" ref="AQ12:AQ75" si="26">AQ11+1/24/4</f>
        <v>36892.020833333328</v>
      </c>
      <c r="AR12" s="12" cm="1">
        <f t="array" aca="1" ref="AR12" ca="1">INDIRECT(ADDRESS(2+$AP12,1+MATCH($AB$9,INDIRECT($AB$16&amp;"!$B$2:$R$2"),0),1,1,$AB$16))</f>
        <v>0</v>
      </c>
      <c r="AS12" s="12" cm="1">
        <f t="array" aca="1" ref="AS12" ca="1">INDIRECT(ADDRESS(2+$AP12,1+MATCH($AB$9,INDIRECT($AB$17&amp;"!$B$2:$R$2"),0),1,1,$AB$17))</f>
        <v>0</v>
      </c>
      <c r="AT12" s="12" cm="1">
        <f t="array" aca="1" ref="AT12" ca="1">INDIRECT(ADDRESS(2+$AP12,1+MATCH($AB$9,INDIRECT($AB$18&amp;"!$B$2:$R$2"),0),1,1,$AB$18))</f>
        <v>0</v>
      </c>
      <c r="AX12" s="12">
        <v>3</v>
      </c>
      <c r="AY12" s="14">
        <f t="shared" ref="AY12:AY75" si="27">AY11+1/24/4</f>
        <v>36892.020833333328</v>
      </c>
      <c r="AZ12" s="12" t="b">
        <f t="shared" ca="1" si="7"/>
        <v>1</v>
      </c>
      <c r="BA12" s="12" t="b">
        <f t="shared" ca="1" si="8"/>
        <v>1</v>
      </c>
      <c r="BB12" s="12" t="b">
        <f t="shared" ca="1" si="9"/>
        <v>1</v>
      </c>
      <c r="BE12" s="12">
        <v>3</v>
      </c>
      <c r="BF12" s="14">
        <f t="shared" ref="BF12:BF75" si="28">BF11+1/24/4</f>
        <v>36892.020833333328</v>
      </c>
      <c r="BG12" s="12" t="str">
        <f t="shared" ca="1" si="10"/>
        <v/>
      </c>
      <c r="BH12" s="12" t="str">
        <f t="shared" ca="1" si="11"/>
        <v/>
      </c>
      <c r="BI12" s="12" t="str">
        <f t="shared" ca="1" si="12"/>
        <v/>
      </c>
      <c r="BL12" s="12">
        <v>3</v>
      </c>
      <c r="BM12" s="14">
        <f t="shared" ref="BM12:BM75" si="29">BM11+1/24/4</f>
        <v>36892.020833333328</v>
      </c>
      <c r="BN12" s="12" t="str">
        <f t="shared" ca="1" si="13"/>
        <v/>
      </c>
      <c r="BO12" s="12" t="str">
        <f t="shared" ca="1" si="14"/>
        <v/>
      </c>
      <c r="BP12" s="12" t="str">
        <f t="shared" ca="1" si="15"/>
        <v/>
      </c>
      <c r="BS12" s="12">
        <v>3</v>
      </c>
      <c r="BT12" s="14">
        <f t="shared" ref="BT12:BT75" si="30">BT11+1/24/4</f>
        <v>36892.020833333328</v>
      </c>
      <c r="BU12" s="12" t="str">
        <f t="shared" ca="1" si="16"/>
        <v/>
      </c>
      <c r="BV12" s="12" t="str">
        <f t="shared" ca="1" si="17"/>
        <v/>
      </c>
      <c r="BW12" s="12" t="str">
        <f t="shared" ca="1" si="18"/>
        <v/>
      </c>
      <c r="BZ12" s="12">
        <v>3</v>
      </c>
      <c r="CA12" s="14" t="s">
        <v>112</v>
      </c>
      <c r="CB12" s="12">
        <f ca="1">COUNTIF(AZ18:AZ21,TRUE)/4</f>
        <v>1</v>
      </c>
      <c r="CC12" s="12">
        <f t="shared" ref="CC12:CD12" ca="1" si="31">COUNTIF(BA18:BA21,TRUE)/4</f>
        <v>1</v>
      </c>
      <c r="CD12" s="12">
        <f t="shared" ca="1" si="31"/>
        <v>1</v>
      </c>
      <c r="CG12" s="12">
        <v>3</v>
      </c>
      <c r="CH12" s="14" t="s">
        <v>112</v>
      </c>
      <c r="CI12" s="12">
        <f ca="1">COUNTIF(BG18:BG21,TRUE)/4</f>
        <v>0</v>
      </c>
      <c r="CJ12" s="12">
        <f t="shared" ref="CJ12" ca="1" si="32">COUNTIF(BH18:BH21,TRUE)/4</f>
        <v>0</v>
      </c>
      <c r="CK12" s="12">
        <f t="shared" ref="CK12" ca="1" si="33">COUNTIF(BI18:BI21,TRUE)/4</f>
        <v>0</v>
      </c>
      <c r="CN12" s="12">
        <v>3</v>
      </c>
      <c r="CO12" s="14" t="s">
        <v>112</v>
      </c>
      <c r="CP12" s="12">
        <f ca="1">COUNTIF(BN18:BN21,TRUE)/4</f>
        <v>0</v>
      </c>
      <c r="CQ12" s="12">
        <f t="shared" ref="CQ12" ca="1" si="34">COUNTIF(BO18:BO21,TRUE)/4</f>
        <v>0</v>
      </c>
      <c r="CR12" s="12">
        <f t="shared" ref="CR12" ca="1" si="35">COUNTIF(BP18:BP21,TRUE)/4</f>
        <v>0</v>
      </c>
      <c r="CU12" s="12">
        <v>3</v>
      </c>
      <c r="CV12" s="14" t="s">
        <v>112</v>
      </c>
      <c r="CW12" s="12">
        <f ca="1">COUNTIF(BU18:BU21,TRUE)/4</f>
        <v>0</v>
      </c>
      <c r="CX12" s="12">
        <f t="shared" ref="CX12" ca="1" si="36">COUNTIF(BV18:BV21,TRUE)/4</f>
        <v>0</v>
      </c>
      <c r="CY12" s="12">
        <f t="shared" ref="CY12" ca="1" si="37">COUNTIF(BW18:BW21,TRUE)/4</f>
        <v>0</v>
      </c>
    </row>
    <row r="13" spans="2:103" ht="16.5" customHeight="1">
      <c r="D13" s="19" t="s">
        <v>32</v>
      </c>
      <c r="E13" s="19" t="s">
        <v>150</v>
      </c>
      <c r="F13" s="19" t="s">
        <v>75</v>
      </c>
      <c r="G13" s="19" t="s">
        <v>76</v>
      </c>
      <c r="H13" s="19"/>
      <c r="I13" s="19"/>
      <c r="M13" s="19" t="s">
        <v>75</v>
      </c>
      <c r="N13" s="19" t="s">
        <v>76</v>
      </c>
      <c r="O13" s="19"/>
      <c r="P13" s="19"/>
      <c r="S13" s="19">
        <v>1</v>
      </c>
      <c r="T13" s="19">
        <v>2</v>
      </c>
      <c r="U13" s="19"/>
      <c r="V13" s="19"/>
      <c r="AH13" s="25">
        <v>4</v>
      </c>
      <c r="AI13" s="27" t="s">
        <v>114</v>
      </c>
      <c r="AJ13" s="25">
        <f ca="1">CB13+CI13+CP13+CW13</f>
        <v>1</v>
      </c>
      <c r="AK13" s="25">
        <f ca="1">CC13+CJ13+CQ13+CX13</f>
        <v>1</v>
      </c>
      <c r="AL13" s="25">
        <f ca="1">CD13+CK13+CR13+CY13</f>
        <v>1</v>
      </c>
      <c r="AP13" s="12">
        <v>4</v>
      </c>
      <c r="AQ13" s="14">
        <f t="shared" si="26"/>
        <v>36892.031249999993</v>
      </c>
      <c r="AR13" s="12" cm="1">
        <f t="array" aca="1" ref="AR13" ca="1">INDIRECT(ADDRESS(2+$AP13,1+MATCH($AB$9,INDIRECT($AB$16&amp;"!$B$2:$R$2"),0),1,1,$AB$16))</f>
        <v>0</v>
      </c>
      <c r="AS13" s="12" cm="1">
        <f t="array" aca="1" ref="AS13" ca="1">INDIRECT(ADDRESS(2+$AP13,1+MATCH($AB$9,INDIRECT($AB$17&amp;"!$B$2:$R$2"),0),1,1,$AB$17))</f>
        <v>0</v>
      </c>
      <c r="AT13" s="12" cm="1">
        <f t="array" aca="1" ref="AT13" ca="1">INDIRECT(ADDRESS(2+$AP13,1+MATCH($AB$9,INDIRECT($AB$18&amp;"!$B$2:$R$2"),0),1,1,$AB$18))</f>
        <v>0</v>
      </c>
      <c r="AX13" s="12">
        <v>4</v>
      </c>
      <c r="AY13" s="14">
        <f t="shared" si="27"/>
        <v>36892.031249999993</v>
      </c>
      <c r="AZ13" s="12" t="b">
        <f t="shared" ca="1" si="7"/>
        <v>1</v>
      </c>
      <c r="BA13" s="12" t="b">
        <f t="shared" ca="1" si="8"/>
        <v>1</v>
      </c>
      <c r="BB13" s="12" t="b">
        <f t="shared" ca="1" si="9"/>
        <v>1</v>
      </c>
      <c r="BE13" s="12">
        <v>4</v>
      </c>
      <c r="BF13" s="14">
        <f t="shared" si="28"/>
        <v>36892.031249999993</v>
      </c>
      <c r="BG13" s="12" t="str">
        <f t="shared" ca="1" si="10"/>
        <v/>
      </c>
      <c r="BH13" s="12" t="str">
        <f t="shared" ca="1" si="11"/>
        <v/>
      </c>
      <c r="BI13" s="12" t="str">
        <f t="shared" ca="1" si="12"/>
        <v/>
      </c>
      <c r="BL13" s="12">
        <v>4</v>
      </c>
      <c r="BM13" s="14">
        <f t="shared" si="29"/>
        <v>36892.031249999993</v>
      </c>
      <c r="BN13" s="12" t="str">
        <f t="shared" ca="1" si="13"/>
        <v/>
      </c>
      <c r="BO13" s="12" t="str">
        <f t="shared" ca="1" si="14"/>
        <v/>
      </c>
      <c r="BP13" s="12" t="str">
        <f t="shared" ca="1" si="15"/>
        <v/>
      </c>
      <c r="BS13" s="12">
        <v>4</v>
      </c>
      <c r="BT13" s="14">
        <f t="shared" si="30"/>
        <v>36892.031249999993</v>
      </c>
      <c r="BU13" s="12" t="str">
        <f t="shared" ca="1" si="16"/>
        <v/>
      </c>
      <c r="BV13" s="12" t="str">
        <f t="shared" ca="1" si="17"/>
        <v/>
      </c>
      <c r="BW13" s="12" t="str">
        <f t="shared" ca="1" si="18"/>
        <v/>
      </c>
      <c r="BZ13" s="12">
        <v>4</v>
      </c>
      <c r="CA13" s="14" t="s">
        <v>114</v>
      </c>
      <c r="CB13" s="12">
        <f ca="1">COUNTIF(AZ22:AZ25,TRUE)/4</f>
        <v>1</v>
      </c>
      <c r="CC13" s="12">
        <f t="shared" ref="CC13:CD13" ca="1" si="38">COUNTIF(BA22:BA25,TRUE)/4</f>
        <v>1</v>
      </c>
      <c r="CD13" s="12">
        <f t="shared" ca="1" si="38"/>
        <v>1</v>
      </c>
      <c r="CG13" s="12">
        <v>4</v>
      </c>
      <c r="CH13" s="14" t="s">
        <v>114</v>
      </c>
      <c r="CI13" s="12">
        <f ca="1">COUNTIF(BG22:BG25,TRUE)/4</f>
        <v>0</v>
      </c>
      <c r="CJ13" s="12">
        <f t="shared" ref="CJ13" ca="1" si="39">COUNTIF(BH22:BH25,TRUE)/4</f>
        <v>0</v>
      </c>
      <c r="CK13" s="12">
        <f t="shared" ref="CK13" ca="1" si="40">COUNTIF(BI22:BI25,TRUE)/4</f>
        <v>0</v>
      </c>
      <c r="CN13" s="12">
        <v>4</v>
      </c>
      <c r="CO13" s="14" t="s">
        <v>114</v>
      </c>
      <c r="CP13" s="12">
        <f ca="1">COUNTIF(BN22:BN25,TRUE)/4</f>
        <v>0</v>
      </c>
      <c r="CQ13" s="12">
        <f t="shared" ref="CQ13" ca="1" si="41">COUNTIF(BO22:BO25,TRUE)/4</f>
        <v>0</v>
      </c>
      <c r="CR13" s="12">
        <f t="shared" ref="CR13" ca="1" si="42">COUNTIF(BP22:BP25,TRUE)/4</f>
        <v>0</v>
      </c>
      <c r="CU13" s="12">
        <v>4</v>
      </c>
      <c r="CV13" s="14" t="s">
        <v>114</v>
      </c>
      <c r="CW13" s="12">
        <f ca="1">COUNTIF(BU22:BU25,TRUE)/4</f>
        <v>0</v>
      </c>
      <c r="CX13" s="12">
        <f t="shared" ref="CX13" ca="1" si="43">COUNTIF(BV22:BV25,TRUE)/4</f>
        <v>0</v>
      </c>
      <c r="CY13" s="12">
        <f t="shared" ref="CY13" ca="1" si="44">COUNTIF(BW22:BW25,TRUE)/4</f>
        <v>0</v>
      </c>
    </row>
    <row r="14" spans="2:103" ht="16.5" customHeight="1">
      <c r="D14" s="19" t="s">
        <v>33</v>
      </c>
      <c r="E14" s="19" t="s">
        <v>54</v>
      </c>
      <c r="F14" s="19" t="s">
        <v>70</v>
      </c>
      <c r="G14" s="19" t="s">
        <v>78</v>
      </c>
      <c r="H14" s="19"/>
      <c r="I14" s="19"/>
      <c r="M14" s="19" t="s">
        <v>78</v>
      </c>
      <c r="N14" s="19"/>
      <c r="O14" s="19"/>
      <c r="P14" s="19"/>
      <c r="S14" s="19"/>
      <c r="T14" s="19">
        <v>1</v>
      </c>
      <c r="U14" s="19"/>
      <c r="V14" s="19"/>
      <c r="Y14" s="10" t="s">
        <v>93</v>
      </c>
      <c r="AH14" s="25">
        <v>5</v>
      </c>
      <c r="AI14" s="27" t="s">
        <v>116</v>
      </c>
      <c r="AJ14" s="25">
        <f ca="1">CB14+CI14+CP14+CW14</f>
        <v>1</v>
      </c>
      <c r="AK14" s="25">
        <f ca="1">CC14+CJ14+CQ14+CX14</f>
        <v>1</v>
      </c>
      <c r="AL14" s="25">
        <f ca="1">CD14+CK14+CR14+CY14</f>
        <v>1</v>
      </c>
      <c r="AP14" s="12">
        <v>5</v>
      </c>
      <c r="AQ14" s="14">
        <f t="shared" si="26"/>
        <v>36892.041666666657</v>
      </c>
      <c r="AR14" s="12" cm="1">
        <f t="array" aca="1" ref="AR14" ca="1">INDIRECT(ADDRESS(2+$AP14,1+MATCH($AB$9,INDIRECT($AB$16&amp;"!$B$2:$R$2"),0),1,1,$AB$16))</f>
        <v>0</v>
      </c>
      <c r="AS14" s="12" cm="1">
        <f t="array" aca="1" ref="AS14" ca="1">INDIRECT(ADDRESS(2+$AP14,1+MATCH($AB$9,INDIRECT($AB$17&amp;"!$B$2:$R$2"),0),1,1,$AB$17))</f>
        <v>0</v>
      </c>
      <c r="AT14" s="12" cm="1">
        <f t="array" aca="1" ref="AT14" ca="1">INDIRECT(ADDRESS(2+$AP14,1+MATCH($AB$9,INDIRECT($AB$18&amp;"!$B$2:$R$2"),0),1,1,$AB$18))</f>
        <v>0</v>
      </c>
      <c r="AX14" s="12">
        <v>5</v>
      </c>
      <c r="AY14" s="14">
        <f t="shared" si="27"/>
        <v>36892.041666666657</v>
      </c>
      <c r="AZ14" s="12" t="b">
        <f t="shared" ca="1" si="7"/>
        <v>1</v>
      </c>
      <c r="BA14" s="12" t="b">
        <f t="shared" ca="1" si="8"/>
        <v>1</v>
      </c>
      <c r="BB14" s="12" t="b">
        <f t="shared" ca="1" si="9"/>
        <v>1</v>
      </c>
      <c r="BE14" s="12">
        <v>5</v>
      </c>
      <c r="BF14" s="14">
        <f t="shared" si="28"/>
        <v>36892.041666666657</v>
      </c>
      <c r="BG14" s="12" t="str">
        <f t="shared" ca="1" si="10"/>
        <v/>
      </c>
      <c r="BH14" s="12" t="str">
        <f t="shared" ca="1" si="11"/>
        <v/>
      </c>
      <c r="BI14" s="12" t="str">
        <f t="shared" ca="1" si="12"/>
        <v/>
      </c>
      <c r="BL14" s="12">
        <v>5</v>
      </c>
      <c r="BM14" s="14">
        <f t="shared" si="29"/>
        <v>36892.041666666657</v>
      </c>
      <c r="BN14" s="12" t="str">
        <f t="shared" ca="1" si="13"/>
        <v/>
      </c>
      <c r="BO14" s="12" t="str">
        <f t="shared" ca="1" si="14"/>
        <v/>
      </c>
      <c r="BP14" s="12" t="str">
        <f t="shared" ca="1" si="15"/>
        <v/>
      </c>
      <c r="BS14" s="12">
        <v>5</v>
      </c>
      <c r="BT14" s="14">
        <f t="shared" si="30"/>
        <v>36892.041666666657</v>
      </c>
      <c r="BU14" s="12" t="str">
        <f t="shared" ca="1" si="16"/>
        <v/>
      </c>
      <c r="BV14" s="12" t="str">
        <f t="shared" ca="1" si="17"/>
        <v/>
      </c>
      <c r="BW14" s="12" t="str">
        <f t="shared" ca="1" si="18"/>
        <v/>
      </c>
      <c r="BZ14" s="12">
        <v>5</v>
      </c>
      <c r="CA14" s="14" t="s">
        <v>116</v>
      </c>
      <c r="CB14" s="12">
        <f ca="1">COUNTIF(AZ26:AZ29,TRUE)/4</f>
        <v>1</v>
      </c>
      <c r="CC14" s="12">
        <f t="shared" ref="CC14:CD14" ca="1" si="45">COUNTIF(BA26:BA29,TRUE)/4</f>
        <v>1</v>
      </c>
      <c r="CD14" s="12">
        <f t="shared" ca="1" si="45"/>
        <v>1</v>
      </c>
      <c r="CG14" s="12">
        <v>5</v>
      </c>
      <c r="CH14" s="14" t="s">
        <v>116</v>
      </c>
      <c r="CI14" s="12">
        <f ca="1">COUNTIF(BG26:BG29,TRUE)/4</f>
        <v>0</v>
      </c>
      <c r="CJ14" s="12">
        <f t="shared" ref="CJ14" ca="1" si="46">COUNTIF(BH26:BH29,TRUE)/4</f>
        <v>0</v>
      </c>
      <c r="CK14" s="12">
        <f t="shared" ref="CK14" ca="1" si="47">COUNTIF(BI26:BI29,TRUE)/4</f>
        <v>0</v>
      </c>
      <c r="CN14" s="12">
        <v>5</v>
      </c>
      <c r="CO14" s="14" t="s">
        <v>116</v>
      </c>
      <c r="CP14" s="12">
        <f ca="1">COUNTIF(BN26:BN29,TRUE)/4</f>
        <v>0</v>
      </c>
      <c r="CQ14" s="12">
        <f t="shared" ref="CQ14" ca="1" si="48">COUNTIF(BO26:BO29,TRUE)/4</f>
        <v>0</v>
      </c>
      <c r="CR14" s="12">
        <f t="shared" ref="CR14" ca="1" si="49">COUNTIF(BP26:BP29,TRUE)/4</f>
        <v>0</v>
      </c>
      <c r="CU14" s="12">
        <v>5</v>
      </c>
      <c r="CV14" s="14" t="s">
        <v>116</v>
      </c>
      <c r="CW14" s="12">
        <f ca="1">COUNTIF(BU26:BU29,TRUE)/4</f>
        <v>0</v>
      </c>
      <c r="CX14" s="12">
        <f t="shared" ref="CX14" ca="1" si="50">COUNTIF(BV26:BV29,TRUE)/4</f>
        <v>0</v>
      </c>
      <c r="CY14" s="12">
        <f t="shared" ref="CY14" ca="1" si="51">COUNTIF(BW26:BW29,TRUE)/4</f>
        <v>0</v>
      </c>
    </row>
    <row r="15" spans="2:103" ht="16.5" customHeight="1">
      <c r="D15" s="19" t="s">
        <v>34</v>
      </c>
      <c r="E15" s="19" t="s">
        <v>79</v>
      </c>
      <c r="F15" s="19" t="s">
        <v>75</v>
      </c>
      <c r="G15" s="19" t="s">
        <v>80</v>
      </c>
      <c r="H15" s="19"/>
      <c r="I15" s="19"/>
      <c r="M15" s="19" t="s">
        <v>75</v>
      </c>
      <c r="N15" s="19" t="s">
        <v>80</v>
      </c>
      <c r="O15" s="19"/>
      <c r="P15" s="19"/>
      <c r="S15" s="19">
        <v>1</v>
      </c>
      <c r="T15" s="19">
        <v>2</v>
      </c>
      <c r="U15" s="19"/>
      <c r="V15" s="19"/>
      <c r="Z15" s="10" t="s">
        <v>99</v>
      </c>
      <c r="AA15" s="10" t="s">
        <v>89</v>
      </c>
      <c r="AB15" s="10" t="str">
        <f>VLOOKUP(AB9,D9:E24,2,FALSE)</f>
        <v>アイロン</v>
      </c>
      <c r="AH15" s="25">
        <v>6</v>
      </c>
      <c r="AI15" s="27" t="s">
        <v>118</v>
      </c>
      <c r="AJ15" s="25">
        <f ca="1">CB15+CI15+CP15+CW15</f>
        <v>1</v>
      </c>
      <c r="AK15" s="25">
        <f ca="1">CC15+CJ15+CQ15+CX15</f>
        <v>1</v>
      </c>
      <c r="AL15" s="25">
        <f ca="1">CD15+CK15+CR15+CY15</f>
        <v>1</v>
      </c>
      <c r="AP15" s="12">
        <v>6</v>
      </c>
      <c r="AQ15" s="14">
        <f t="shared" si="26"/>
        <v>36892.052083333321</v>
      </c>
      <c r="AR15" s="12" cm="1">
        <f t="array" aca="1" ref="AR15" ca="1">INDIRECT(ADDRESS(2+$AP15,1+MATCH($AB$9,INDIRECT($AB$16&amp;"!$B$2:$R$2"),0),1,1,$AB$16))</f>
        <v>0</v>
      </c>
      <c r="AS15" s="12" cm="1">
        <f t="array" aca="1" ref="AS15" ca="1">INDIRECT(ADDRESS(2+$AP15,1+MATCH($AB$9,INDIRECT($AB$17&amp;"!$B$2:$R$2"),0),1,1,$AB$17))</f>
        <v>0</v>
      </c>
      <c r="AT15" s="12" cm="1">
        <f t="array" aca="1" ref="AT15" ca="1">INDIRECT(ADDRESS(2+$AP15,1+MATCH($AB$9,INDIRECT($AB$18&amp;"!$B$2:$R$2"),0),1,1,$AB$18))</f>
        <v>0</v>
      </c>
      <c r="AX15" s="12">
        <v>6</v>
      </c>
      <c r="AY15" s="14">
        <f t="shared" si="27"/>
        <v>36892.052083333321</v>
      </c>
      <c r="AZ15" s="12" t="b">
        <f t="shared" ca="1" si="7"/>
        <v>1</v>
      </c>
      <c r="BA15" s="12" t="b">
        <f t="shared" ca="1" si="8"/>
        <v>1</v>
      </c>
      <c r="BB15" s="12" t="b">
        <f t="shared" ca="1" si="9"/>
        <v>1</v>
      </c>
      <c r="BE15" s="12">
        <v>6</v>
      </c>
      <c r="BF15" s="14">
        <f t="shared" si="28"/>
        <v>36892.052083333321</v>
      </c>
      <c r="BG15" s="12" t="str">
        <f t="shared" ca="1" si="10"/>
        <v/>
      </c>
      <c r="BH15" s="12" t="str">
        <f t="shared" ca="1" si="11"/>
        <v/>
      </c>
      <c r="BI15" s="12" t="str">
        <f t="shared" ca="1" si="12"/>
        <v/>
      </c>
      <c r="BL15" s="12">
        <v>6</v>
      </c>
      <c r="BM15" s="14">
        <f t="shared" si="29"/>
        <v>36892.052083333321</v>
      </c>
      <c r="BN15" s="12" t="str">
        <f t="shared" ca="1" si="13"/>
        <v/>
      </c>
      <c r="BO15" s="12" t="str">
        <f t="shared" ca="1" si="14"/>
        <v/>
      </c>
      <c r="BP15" s="12" t="str">
        <f t="shared" ca="1" si="15"/>
        <v/>
      </c>
      <c r="BS15" s="12">
        <v>6</v>
      </c>
      <c r="BT15" s="14">
        <f t="shared" si="30"/>
        <v>36892.052083333321</v>
      </c>
      <c r="BU15" s="12" t="str">
        <f t="shared" ca="1" si="16"/>
        <v/>
      </c>
      <c r="BV15" s="12" t="str">
        <f t="shared" ca="1" si="17"/>
        <v/>
      </c>
      <c r="BW15" s="12" t="str">
        <f t="shared" ca="1" si="18"/>
        <v/>
      </c>
      <c r="BZ15" s="12">
        <v>6</v>
      </c>
      <c r="CA15" s="14" t="s">
        <v>118</v>
      </c>
      <c r="CB15" s="12">
        <f ca="1">COUNTIF(AZ30:AZ33,TRUE)/4</f>
        <v>1</v>
      </c>
      <c r="CC15" s="12">
        <f t="shared" ref="CC15:CD15" ca="1" si="52">COUNTIF(BA30:BA33,TRUE)/4</f>
        <v>1</v>
      </c>
      <c r="CD15" s="12">
        <f t="shared" ca="1" si="52"/>
        <v>1</v>
      </c>
      <c r="CG15" s="12">
        <v>6</v>
      </c>
      <c r="CH15" s="14" t="s">
        <v>118</v>
      </c>
      <c r="CI15" s="12">
        <f ca="1">COUNTIF(BG30:BG33,TRUE)/4</f>
        <v>0</v>
      </c>
      <c r="CJ15" s="12">
        <f t="shared" ref="CJ15" ca="1" si="53">COUNTIF(BH30:BH33,TRUE)/4</f>
        <v>0</v>
      </c>
      <c r="CK15" s="12">
        <f t="shared" ref="CK15" ca="1" si="54">COUNTIF(BI30:BI33,TRUE)/4</f>
        <v>0</v>
      </c>
      <c r="CN15" s="12">
        <v>6</v>
      </c>
      <c r="CO15" s="14" t="s">
        <v>118</v>
      </c>
      <c r="CP15" s="12">
        <f ca="1">COUNTIF(BN30:BN33,TRUE)/4</f>
        <v>0</v>
      </c>
      <c r="CQ15" s="12">
        <f t="shared" ref="CQ15" ca="1" si="55">COUNTIF(BO30:BO33,TRUE)/4</f>
        <v>0</v>
      </c>
      <c r="CR15" s="12">
        <f t="shared" ref="CR15" ca="1" si="56">COUNTIF(BP30:BP33,TRUE)/4</f>
        <v>0</v>
      </c>
      <c r="CU15" s="12">
        <v>6</v>
      </c>
      <c r="CV15" s="14" t="s">
        <v>118</v>
      </c>
      <c r="CW15" s="12">
        <f ca="1">COUNTIF(BU30:BU33,TRUE)/4</f>
        <v>0</v>
      </c>
      <c r="CX15" s="12">
        <f t="shared" ref="CX15" ca="1" si="57">COUNTIF(BV30:BV33,TRUE)/4</f>
        <v>0</v>
      </c>
      <c r="CY15" s="12">
        <f t="shared" ref="CY15" ca="1" si="58">COUNTIF(BW30:BW33,TRUE)/4</f>
        <v>0</v>
      </c>
    </row>
    <row r="16" spans="2:103" ht="16.5" customHeight="1">
      <c r="D16" s="19" t="s">
        <v>35</v>
      </c>
      <c r="E16" s="19" t="s">
        <v>55</v>
      </c>
      <c r="F16" s="19" t="s">
        <v>70</v>
      </c>
      <c r="G16" s="19" t="s">
        <v>78</v>
      </c>
      <c r="H16" s="19"/>
      <c r="I16" s="19"/>
      <c r="M16" s="19" t="s">
        <v>78</v>
      </c>
      <c r="N16" s="19"/>
      <c r="O16" s="19"/>
      <c r="P16" s="19"/>
      <c r="S16" s="19"/>
      <c r="T16" s="19">
        <v>1</v>
      </c>
      <c r="U16" s="19"/>
      <c r="V16" s="19"/>
      <c r="Z16" s="10" t="s">
        <v>94</v>
      </c>
      <c r="AA16" s="10" t="s">
        <v>89</v>
      </c>
      <c r="AB16" s="20" t="str">
        <f>"DB_"&amp;AB10&amp;"平"</f>
        <v>DB_2平</v>
      </c>
      <c r="AH16" s="25">
        <v>7</v>
      </c>
      <c r="AI16" s="27" t="s">
        <v>120</v>
      </c>
      <c r="AJ16" s="25">
        <f ca="1">CB16+CI16+CP16+CW16</f>
        <v>1</v>
      </c>
      <c r="AK16" s="25">
        <f ca="1">CC16+CJ16+CQ16+CX16</f>
        <v>1</v>
      </c>
      <c r="AL16" s="25">
        <f ca="1">CD16+CK16+CR16+CY16</f>
        <v>1</v>
      </c>
      <c r="AP16" s="12">
        <v>7</v>
      </c>
      <c r="AQ16" s="14">
        <f t="shared" si="26"/>
        <v>36892.062499999985</v>
      </c>
      <c r="AR16" s="12" cm="1">
        <f t="array" aca="1" ref="AR16" ca="1">INDIRECT(ADDRESS(2+$AP16,1+MATCH($AB$9,INDIRECT($AB$16&amp;"!$B$2:$R$2"),0),1,1,$AB$16))</f>
        <v>0</v>
      </c>
      <c r="AS16" s="12" cm="1">
        <f t="array" aca="1" ref="AS16" ca="1">INDIRECT(ADDRESS(2+$AP16,1+MATCH($AB$9,INDIRECT($AB$17&amp;"!$B$2:$R$2"),0),1,1,$AB$17))</f>
        <v>0</v>
      </c>
      <c r="AT16" s="12" cm="1">
        <f t="array" aca="1" ref="AT16" ca="1">INDIRECT(ADDRESS(2+$AP16,1+MATCH($AB$9,INDIRECT($AB$18&amp;"!$B$2:$R$2"),0),1,1,$AB$18))</f>
        <v>0</v>
      </c>
      <c r="AX16" s="12">
        <v>7</v>
      </c>
      <c r="AY16" s="14">
        <f t="shared" si="27"/>
        <v>36892.062499999985</v>
      </c>
      <c r="AZ16" s="12" t="b">
        <f t="shared" ca="1" si="7"/>
        <v>1</v>
      </c>
      <c r="BA16" s="12" t="b">
        <f t="shared" ca="1" si="8"/>
        <v>1</v>
      </c>
      <c r="BB16" s="12" t="b">
        <f t="shared" ca="1" si="9"/>
        <v>1</v>
      </c>
      <c r="BE16" s="12">
        <v>7</v>
      </c>
      <c r="BF16" s="14">
        <f t="shared" si="28"/>
        <v>36892.062499999985</v>
      </c>
      <c r="BG16" s="12" t="str">
        <f t="shared" ca="1" si="10"/>
        <v/>
      </c>
      <c r="BH16" s="12" t="str">
        <f t="shared" ca="1" si="11"/>
        <v/>
      </c>
      <c r="BI16" s="12" t="str">
        <f t="shared" ca="1" si="12"/>
        <v/>
      </c>
      <c r="BL16" s="12">
        <v>7</v>
      </c>
      <c r="BM16" s="14">
        <f t="shared" si="29"/>
        <v>36892.062499999985</v>
      </c>
      <c r="BN16" s="12" t="str">
        <f t="shared" ca="1" si="13"/>
        <v/>
      </c>
      <c r="BO16" s="12" t="str">
        <f t="shared" ca="1" si="14"/>
        <v/>
      </c>
      <c r="BP16" s="12" t="str">
        <f t="shared" ca="1" si="15"/>
        <v/>
      </c>
      <c r="BS16" s="12">
        <v>7</v>
      </c>
      <c r="BT16" s="14">
        <f t="shared" si="30"/>
        <v>36892.062499999985</v>
      </c>
      <c r="BU16" s="12" t="str">
        <f t="shared" ca="1" si="16"/>
        <v/>
      </c>
      <c r="BV16" s="12" t="str">
        <f t="shared" ca="1" si="17"/>
        <v/>
      </c>
      <c r="BW16" s="12" t="str">
        <f t="shared" ca="1" si="18"/>
        <v/>
      </c>
      <c r="BZ16" s="12">
        <v>7</v>
      </c>
      <c r="CA16" s="14" t="s">
        <v>120</v>
      </c>
      <c r="CB16" s="12">
        <f ca="1">COUNTIF(AZ34:AZ37,TRUE)/4</f>
        <v>1</v>
      </c>
      <c r="CC16" s="12">
        <f t="shared" ref="CC16:CD16" ca="1" si="59">COUNTIF(BA34:BA37,TRUE)/4</f>
        <v>1</v>
      </c>
      <c r="CD16" s="12">
        <f t="shared" ca="1" si="59"/>
        <v>1</v>
      </c>
      <c r="CG16" s="12">
        <v>7</v>
      </c>
      <c r="CH16" s="14" t="s">
        <v>120</v>
      </c>
      <c r="CI16" s="12">
        <f ca="1">COUNTIF(BG34:BG37,TRUE)/4</f>
        <v>0</v>
      </c>
      <c r="CJ16" s="12">
        <f t="shared" ref="CJ16" ca="1" si="60">COUNTIF(BH34:BH37,TRUE)/4</f>
        <v>0</v>
      </c>
      <c r="CK16" s="12">
        <f t="shared" ref="CK16" ca="1" si="61">COUNTIF(BI34:BI37,TRUE)/4</f>
        <v>0</v>
      </c>
      <c r="CN16" s="12">
        <v>7</v>
      </c>
      <c r="CO16" s="14" t="s">
        <v>120</v>
      </c>
      <c r="CP16" s="12">
        <f ca="1">COUNTIF(BN34:BN37,TRUE)/4</f>
        <v>0</v>
      </c>
      <c r="CQ16" s="12">
        <f t="shared" ref="CQ16" ca="1" si="62">COUNTIF(BO34:BO37,TRUE)/4</f>
        <v>0</v>
      </c>
      <c r="CR16" s="12">
        <f t="shared" ref="CR16" ca="1" si="63">COUNTIF(BP34:BP37,TRUE)/4</f>
        <v>0</v>
      </c>
      <c r="CU16" s="12">
        <v>7</v>
      </c>
      <c r="CV16" s="14" t="s">
        <v>120</v>
      </c>
      <c r="CW16" s="12">
        <f ca="1">COUNTIF(BU34:BU37,TRUE)/4</f>
        <v>0</v>
      </c>
      <c r="CX16" s="12">
        <f t="shared" ref="CX16" ca="1" si="64">COUNTIF(BV34:BV37,TRUE)/4</f>
        <v>0</v>
      </c>
      <c r="CY16" s="12">
        <f t="shared" ref="CY16" ca="1" si="65">COUNTIF(BW34:BW37,TRUE)/4</f>
        <v>0</v>
      </c>
    </row>
    <row r="17" spans="4:103" ht="16.5" customHeight="1">
      <c r="D17" s="19" t="s">
        <v>36</v>
      </c>
      <c r="E17" s="19" t="s">
        <v>56</v>
      </c>
      <c r="F17" s="19" t="s">
        <v>70</v>
      </c>
      <c r="G17" s="19" t="s">
        <v>78</v>
      </c>
      <c r="H17" s="19"/>
      <c r="I17" s="19"/>
      <c r="M17" s="19" t="s">
        <v>78</v>
      </c>
      <c r="N17" s="19"/>
      <c r="O17" s="19"/>
      <c r="P17" s="19"/>
      <c r="S17" s="19"/>
      <c r="T17" s="19">
        <v>1</v>
      </c>
      <c r="U17" s="19"/>
      <c r="V17" s="19"/>
      <c r="Z17" s="10" t="s">
        <v>95</v>
      </c>
      <c r="AA17" s="10" t="s">
        <v>89</v>
      </c>
      <c r="AB17" s="20" t="str">
        <f>"DB_"&amp;AB10&amp;"休在"</f>
        <v>DB_2休在</v>
      </c>
      <c r="AH17" s="25">
        <v>8</v>
      </c>
      <c r="AI17" s="27" t="s">
        <v>122</v>
      </c>
      <c r="AJ17" s="25">
        <f ca="1">CB17+CI17+CP17+CW17</f>
        <v>1</v>
      </c>
      <c r="AK17" s="25">
        <f ca="1">CC17+CJ17+CQ17+CX17</f>
        <v>1</v>
      </c>
      <c r="AL17" s="25">
        <f ca="1">CD17+CK17+CR17+CY17</f>
        <v>1</v>
      </c>
      <c r="AP17" s="12">
        <v>8</v>
      </c>
      <c r="AQ17" s="14">
        <f t="shared" si="26"/>
        <v>36892.07291666665</v>
      </c>
      <c r="AR17" s="12" cm="1">
        <f t="array" aca="1" ref="AR17" ca="1">INDIRECT(ADDRESS(2+$AP17,1+MATCH($AB$9,INDIRECT($AB$16&amp;"!$B$2:$R$2"),0),1,1,$AB$16))</f>
        <v>0</v>
      </c>
      <c r="AS17" s="12" cm="1">
        <f t="array" aca="1" ref="AS17" ca="1">INDIRECT(ADDRESS(2+$AP17,1+MATCH($AB$9,INDIRECT($AB$17&amp;"!$B$2:$R$2"),0),1,1,$AB$17))</f>
        <v>0</v>
      </c>
      <c r="AT17" s="12" cm="1">
        <f t="array" aca="1" ref="AT17" ca="1">INDIRECT(ADDRESS(2+$AP17,1+MATCH($AB$9,INDIRECT($AB$18&amp;"!$B$2:$R$2"),0),1,1,$AB$18))</f>
        <v>0</v>
      </c>
      <c r="AX17" s="12">
        <v>8</v>
      </c>
      <c r="AY17" s="14">
        <f t="shared" si="27"/>
        <v>36892.07291666665</v>
      </c>
      <c r="AZ17" s="12" t="b">
        <f t="shared" ca="1" si="7"/>
        <v>1</v>
      </c>
      <c r="BA17" s="12" t="b">
        <f t="shared" ca="1" si="8"/>
        <v>1</v>
      </c>
      <c r="BB17" s="12" t="b">
        <f t="shared" ca="1" si="9"/>
        <v>1</v>
      </c>
      <c r="BE17" s="12">
        <v>8</v>
      </c>
      <c r="BF17" s="14">
        <f t="shared" si="28"/>
        <v>36892.07291666665</v>
      </c>
      <c r="BG17" s="12" t="str">
        <f t="shared" ca="1" si="10"/>
        <v/>
      </c>
      <c r="BH17" s="12" t="str">
        <f t="shared" ca="1" si="11"/>
        <v/>
      </c>
      <c r="BI17" s="12" t="str">
        <f t="shared" ca="1" si="12"/>
        <v/>
      </c>
      <c r="BL17" s="12">
        <v>8</v>
      </c>
      <c r="BM17" s="14">
        <f t="shared" si="29"/>
        <v>36892.07291666665</v>
      </c>
      <c r="BN17" s="12" t="str">
        <f t="shared" ca="1" si="13"/>
        <v/>
      </c>
      <c r="BO17" s="12" t="str">
        <f t="shared" ca="1" si="14"/>
        <v/>
      </c>
      <c r="BP17" s="12" t="str">
        <f t="shared" ca="1" si="15"/>
        <v/>
      </c>
      <c r="BS17" s="12">
        <v>8</v>
      </c>
      <c r="BT17" s="14">
        <f t="shared" si="30"/>
        <v>36892.07291666665</v>
      </c>
      <c r="BU17" s="12" t="str">
        <f t="shared" ca="1" si="16"/>
        <v/>
      </c>
      <c r="BV17" s="12" t="str">
        <f t="shared" ca="1" si="17"/>
        <v/>
      </c>
      <c r="BW17" s="12" t="str">
        <f t="shared" ca="1" si="18"/>
        <v/>
      </c>
      <c r="BZ17" s="12">
        <v>8</v>
      </c>
      <c r="CA17" s="14" t="s">
        <v>122</v>
      </c>
      <c r="CB17" s="12">
        <f ca="1">COUNTIF(AZ38:AZ41,TRUE)/4</f>
        <v>1</v>
      </c>
      <c r="CC17" s="12">
        <f t="shared" ref="CC17:CD17" ca="1" si="66">COUNTIF(BA38:BA41,TRUE)/4</f>
        <v>1</v>
      </c>
      <c r="CD17" s="12">
        <f t="shared" ca="1" si="66"/>
        <v>1</v>
      </c>
      <c r="CG17" s="12">
        <v>8</v>
      </c>
      <c r="CH17" s="14" t="s">
        <v>122</v>
      </c>
      <c r="CI17" s="12">
        <f ca="1">COUNTIF(BG38:BG41,TRUE)/4</f>
        <v>0</v>
      </c>
      <c r="CJ17" s="12">
        <f t="shared" ref="CJ17" ca="1" si="67">COUNTIF(BH38:BH41,TRUE)/4</f>
        <v>0</v>
      </c>
      <c r="CK17" s="12">
        <f t="shared" ref="CK17" ca="1" si="68">COUNTIF(BI38:BI41,TRUE)/4</f>
        <v>0</v>
      </c>
      <c r="CN17" s="12">
        <v>8</v>
      </c>
      <c r="CO17" s="14" t="s">
        <v>122</v>
      </c>
      <c r="CP17" s="12">
        <f ca="1">COUNTIF(BN38:BN41,TRUE)/4</f>
        <v>0</v>
      </c>
      <c r="CQ17" s="12">
        <f t="shared" ref="CQ17" ca="1" si="69">COUNTIF(BO38:BO41,TRUE)/4</f>
        <v>0</v>
      </c>
      <c r="CR17" s="12">
        <f t="shared" ref="CR17" ca="1" si="70">COUNTIF(BP38:BP41,TRUE)/4</f>
        <v>0</v>
      </c>
      <c r="CU17" s="12">
        <v>8</v>
      </c>
      <c r="CV17" s="14" t="s">
        <v>122</v>
      </c>
      <c r="CW17" s="12">
        <f ca="1">COUNTIF(BU38:BU41,TRUE)/4</f>
        <v>0</v>
      </c>
      <c r="CX17" s="12">
        <f t="shared" ref="CX17" ca="1" si="71">COUNTIF(BV38:BV41,TRUE)/4</f>
        <v>0</v>
      </c>
      <c r="CY17" s="12">
        <f t="shared" ref="CY17" ca="1" si="72">COUNTIF(BW38:BW41,TRUE)/4</f>
        <v>0</v>
      </c>
    </row>
    <row r="18" spans="4:103" ht="16.5" customHeight="1">
      <c r="D18" s="19" t="s">
        <v>37</v>
      </c>
      <c r="E18" s="19" t="s">
        <v>151</v>
      </c>
      <c r="F18" s="19" t="s">
        <v>75</v>
      </c>
      <c r="G18" s="19" t="s">
        <v>76</v>
      </c>
      <c r="H18" s="19"/>
      <c r="I18" s="19"/>
      <c r="M18" s="19" t="s">
        <v>75</v>
      </c>
      <c r="N18" s="19" t="s">
        <v>76</v>
      </c>
      <c r="O18" s="19"/>
      <c r="P18" s="19"/>
      <c r="S18" s="19">
        <v>1</v>
      </c>
      <c r="T18" s="19">
        <v>2</v>
      </c>
      <c r="U18" s="19"/>
      <c r="V18" s="19"/>
      <c r="Z18" s="10" t="s">
        <v>96</v>
      </c>
      <c r="AA18" s="10" t="s">
        <v>89</v>
      </c>
      <c r="AB18" s="20" t="str">
        <f>"DB_"&amp;AB10&amp;"休外"</f>
        <v>DB_2休外</v>
      </c>
      <c r="AH18" s="25">
        <v>9</v>
      </c>
      <c r="AI18" s="27" t="s">
        <v>124</v>
      </c>
      <c r="AJ18" s="25">
        <f ca="1">CB18+CI18+CP18+CW18</f>
        <v>1</v>
      </c>
      <c r="AK18" s="25">
        <f ca="1">CC18+CJ18+CQ18+CX18</f>
        <v>1</v>
      </c>
      <c r="AL18" s="25">
        <f ca="1">CD18+CK18+CR18+CY18</f>
        <v>1</v>
      </c>
      <c r="AP18" s="12">
        <v>9</v>
      </c>
      <c r="AQ18" s="14">
        <f t="shared" si="26"/>
        <v>36892.083333333314</v>
      </c>
      <c r="AR18" s="12" cm="1">
        <f t="array" aca="1" ref="AR18" ca="1">INDIRECT(ADDRESS(2+$AP18,1+MATCH($AB$9,INDIRECT($AB$16&amp;"!$B$2:$R$2"),0),1,1,$AB$16))</f>
        <v>0</v>
      </c>
      <c r="AS18" s="12" cm="1">
        <f t="array" aca="1" ref="AS18" ca="1">INDIRECT(ADDRESS(2+$AP18,1+MATCH($AB$9,INDIRECT($AB$17&amp;"!$B$2:$R$2"),0),1,1,$AB$17))</f>
        <v>0</v>
      </c>
      <c r="AT18" s="12" cm="1">
        <f t="array" aca="1" ref="AT18" ca="1">INDIRECT(ADDRESS(2+$AP18,1+MATCH($AB$9,INDIRECT($AB$18&amp;"!$B$2:$R$2"),0),1,1,$AB$18))</f>
        <v>0</v>
      </c>
      <c r="AX18" s="12">
        <v>9</v>
      </c>
      <c r="AY18" s="14">
        <f t="shared" si="27"/>
        <v>36892.083333333314</v>
      </c>
      <c r="AZ18" s="12" t="b">
        <f t="shared" ca="1" si="7"/>
        <v>1</v>
      </c>
      <c r="BA18" s="12" t="b">
        <f t="shared" ca="1" si="8"/>
        <v>1</v>
      </c>
      <c r="BB18" s="12" t="b">
        <f t="shared" ca="1" si="9"/>
        <v>1</v>
      </c>
      <c r="BE18" s="12">
        <v>9</v>
      </c>
      <c r="BF18" s="14">
        <f t="shared" si="28"/>
        <v>36892.083333333314</v>
      </c>
      <c r="BG18" s="12" t="str">
        <f t="shared" ca="1" si="10"/>
        <v/>
      </c>
      <c r="BH18" s="12" t="str">
        <f t="shared" ca="1" si="11"/>
        <v/>
      </c>
      <c r="BI18" s="12" t="str">
        <f t="shared" ca="1" si="12"/>
        <v/>
      </c>
      <c r="BL18" s="12">
        <v>9</v>
      </c>
      <c r="BM18" s="14">
        <f t="shared" si="29"/>
        <v>36892.083333333314</v>
      </c>
      <c r="BN18" s="12" t="str">
        <f t="shared" ca="1" si="13"/>
        <v/>
      </c>
      <c r="BO18" s="12" t="str">
        <f t="shared" ca="1" si="14"/>
        <v/>
      </c>
      <c r="BP18" s="12" t="str">
        <f t="shared" ca="1" si="15"/>
        <v/>
      </c>
      <c r="BS18" s="12">
        <v>9</v>
      </c>
      <c r="BT18" s="14">
        <f t="shared" si="30"/>
        <v>36892.083333333314</v>
      </c>
      <c r="BU18" s="12" t="str">
        <f t="shared" ca="1" si="16"/>
        <v/>
      </c>
      <c r="BV18" s="12" t="str">
        <f t="shared" ca="1" si="17"/>
        <v/>
      </c>
      <c r="BW18" s="12" t="str">
        <f t="shared" ca="1" si="18"/>
        <v/>
      </c>
      <c r="BZ18" s="12">
        <v>9</v>
      </c>
      <c r="CA18" s="14" t="s">
        <v>124</v>
      </c>
      <c r="CB18" s="12">
        <f ca="1">COUNTIF(AZ42:AZ45,TRUE)/4</f>
        <v>1</v>
      </c>
      <c r="CC18" s="12">
        <f t="shared" ref="CC18:CD18" ca="1" si="73">COUNTIF(BA42:BA45,TRUE)/4</f>
        <v>1</v>
      </c>
      <c r="CD18" s="12">
        <f t="shared" ca="1" si="73"/>
        <v>1</v>
      </c>
      <c r="CG18" s="12">
        <v>9</v>
      </c>
      <c r="CH18" s="14" t="s">
        <v>124</v>
      </c>
      <c r="CI18" s="12">
        <f ca="1">COUNTIF(BG42:BG45,TRUE)/4</f>
        <v>0</v>
      </c>
      <c r="CJ18" s="12">
        <f t="shared" ref="CJ18" ca="1" si="74">COUNTIF(BH42:BH45,TRUE)/4</f>
        <v>0</v>
      </c>
      <c r="CK18" s="12">
        <f t="shared" ref="CK18" ca="1" si="75">COUNTIF(BI42:BI45,TRUE)/4</f>
        <v>0</v>
      </c>
      <c r="CN18" s="12">
        <v>9</v>
      </c>
      <c r="CO18" s="14" t="s">
        <v>124</v>
      </c>
      <c r="CP18" s="12">
        <f ca="1">COUNTIF(BN42:BN45,TRUE)/4</f>
        <v>0</v>
      </c>
      <c r="CQ18" s="12">
        <f t="shared" ref="CQ18" ca="1" si="76">COUNTIF(BO42:BO45,TRUE)/4</f>
        <v>0</v>
      </c>
      <c r="CR18" s="12">
        <f t="shared" ref="CR18" ca="1" si="77">COUNTIF(BP42:BP45,TRUE)/4</f>
        <v>0</v>
      </c>
      <c r="CU18" s="12">
        <v>9</v>
      </c>
      <c r="CV18" s="14" t="s">
        <v>124</v>
      </c>
      <c r="CW18" s="12">
        <f ca="1">COUNTIF(BU42:BU45,TRUE)/4</f>
        <v>0</v>
      </c>
      <c r="CX18" s="12">
        <f t="shared" ref="CX18" ca="1" si="78">COUNTIF(BV42:BV45,TRUE)/4</f>
        <v>0</v>
      </c>
      <c r="CY18" s="12">
        <f t="shared" ref="CY18" ca="1" si="79">COUNTIF(BW42:BW45,TRUE)/4</f>
        <v>0</v>
      </c>
    </row>
    <row r="19" spans="4:103" ht="16.5" customHeight="1">
      <c r="D19" s="19" t="s">
        <v>38</v>
      </c>
      <c r="E19" s="19" t="s">
        <v>57</v>
      </c>
      <c r="F19" s="19" t="s">
        <v>75</v>
      </c>
      <c r="G19" s="19" t="s">
        <v>81</v>
      </c>
      <c r="H19" s="19"/>
      <c r="I19" s="19"/>
      <c r="M19" s="19" t="s">
        <v>75</v>
      </c>
      <c r="N19" s="19" t="s">
        <v>81</v>
      </c>
      <c r="O19" s="19"/>
      <c r="P19" s="19"/>
      <c r="S19" s="19">
        <v>1</v>
      </c>
      <c r="T19" s="19">
        <v>2</v>
      </c>
      <c r="U19" s="19"/>
      <c r="V19" s="19"/>
      <c r="Z19" s="10" t="s">
        <v>100</v>
      </c>
      <c r="AA19" s="10" t="s">
        <v>89</v>
      </c>
      <c r="AH19" s="25">
        <v>10</v>
      </c>
      <c r="AI19" s="27" t="s">
        <v>126</v>
      </c>
      <c r="AJ19" s="25">
        <f ca="1">CB19+CI19+CP19+CW19</f>
        <v>1</v>
      </c>
      <c r="AK19" s="25">
        <f ca="1">CC19+CJ19+CQ19+CX19</f>
        <v>1</v>
      </c>
      <c r="AL19" s="25">
        <f ca="1">CD19+CK19+CR19+CY19</f>
        <v>1</v>
      </c>
      <c r="AP19" s="12">
        <v>10</v>
      </c>
      <c r="AQ19" s="14">
        <f t="shared" si="26"/>
        <v>36892.093749999978</v>
      </c>
      <c r="AR19" s="12" cm="1">
        <f t="array" aca="1" ref="AR19" ca="1">INDIRECT(ADDRESS(2+$AP19,1+MATCH($AB$9,INDIRECT($AB$16&amp;"!$B$2:$R$2"),0),1,1,$AB$16))</f>
        <v>0</v>
      </c>
      <c r="AS19" s="12" cm="1">
        <f t="array" aca="1" ref="AS19" ca="1">INDIRECT(ADDRESS(2+$AP19,1+MATCH($AB$9,INDIRECT($AB$17&amp;"!$B$2:$R$2"),0),1,1,$AB$17))</f>
        <v>0</v>
      </c>
      <c r="AT19" s="12" cm="1">
        <f t="array" aca="1" ref="AT19" ca="1">INDIRECT(ADDRESS(2+$AP19,1+MATCH($AB$9,INDIRECT($AB$18&amp;"!$B$2:$R$2"),0),1,1,$AB$18))</f>
        <v>0</v>
      </c>
      <c r="AX19" s="12">
        <v>10</v>
      </c>
      <c r="AY19" s="14">
        <f t="shared" si="27"/>
        <v>36892.093749999978</v>
      </c>
      <c r="AZ19" s="12" t="b">
        <f t="shared" ca="1" si="7"/>
        <v>1</v>
      </c>
      <c r="BA19" s="12" t="b">
        <f t="shared" ca="1" si="8"/>
        <v>1</v>
      </c>
      <c r="BB19" s="12" t="b">
        <f t="shared" ca="1" si="9"/>
        <v>1</v>
      </c>
      <c r="BE19" s="12">
        <v>10</v>
      </c>
      <c r="BF19" s="14">
        <f t="shared" si="28"/>
        <v>36892.093749999978</v>
      </c>
      <c r="BG19" s="12" t="str">
        <f t="shared" ca="1" si="10"/>
        <v/>
      </c>
      <c r="BH19" s="12" t="str">
        <f t="shared" ca="1" si="11"/>
        <v/>
      </c>
      <c r="BI19" s="12" t="str">
        <f t="shared" ca="1" si="12"/>
        <v/>
      </c>
      <c r="BL19" s="12">
        <v>10</v>
      </c>
      <c r="BM19" s="14">
        <f t="shared" si="29"/>
        <v>36892.093749999978</v>
      </c>
      <c r="BN19" s="12" t="str">
        <f t="shared" ca="1" si="13"/>
        <v/>
      </c>
      <c r="BO19" s="12" t="str">
        <f t="shared" ca="1" si="14"/>
        <v/>
      </c>
      <c r="BP19" s="12" t="str">
        <f t="shared" ca="1" si="15"/>
        <v/>
      </c>
      <c r="BS19" s="12">
        <v>10</v>
      </c>
      <c r="BT19" s="14">
        <f t="shared" si="30"/>
        <v>36892.093749999978</v>
      </c>
      <c r="BU19" s="12" t="str">
        <f t="shared" ca="1" si="16"/>
        <v/>
      </c>
      <c r="BV19" s="12" t="str">
        <f t="shared" ca="1" si="17"/>
        <v/>
      </c>
      <c r="BW19" s="12" t="str">
        <f t="shared" ca="1" si="18"/>
        <v/>
      </c>
      <c r="BZ19" s="12">
        <v>10</v>
      </c>
      <c r="CA19" s="14" t="s">
        <v>126</v>
      </c>
      <c r="CB19" s="12">
        <f ca="1">COUNTIF(AZ46:AZ49,TRUE)/4</f>
        <v>0.75</v>
      </c>
      <c r="CC19" s="12">
        <f t="shared" ref="CC19:CD19" ca="1" si="80">COUNTIF(BA46:BA49,TRUE)/4</f>
        <v>1</v>
      </c>
      <c r="CD19" s="12">
        <f t="shared" ca="1" si="80"/>
        <v>1</v>
      </c>
      <c r="CG19" s="12">
        <v>10</v>
      </c>
      <c r="CH19" s="14" t="s">
        <v>126</v>
      </c>
      <c r="CI19" s="12">
        <f ca="1">COUNTIF(BG46:BG49,TRUE)/4</f>
        <v>0.25</v>
      </c>
      <c r="CJ19" s="12">
        <f t="shared" ref="CJ19" ca="1" si="81">COUNTIF(BH46:BH49,TRUE)/4</f>
        <v>0</v>
      </c>
      <c r="CK19" s="12">
        <f t="shared" ref="CK19" ca="1" si="82">COUNTIF(BI46:BI49,TRUE)/4</f>
        <v>0</v>
      </c>
      <c r="CN19" s="12">
        <v>10</v>
      </c>
      <c r="CO19" s="14" t="s">
        <v>126</v>
      </c>
      <c r="CP19" s="12">
        <f ca="1">COUNTIF(BN46:BN49,TRUE)/4</f>
        <v>0</v>
      </c>
      <c r="CQ19" s="12">
        <f t="shared" ref="CQ19" ca="1" si="83">COUNTIF(BO46:BO49,TRUE)/4</f>
        <v>0</v>
      </c>
      <c r="CR19" s="12">
        <f t="shared" ref="CR19" ca="1" si="84">COUNTIF(BP46:BP49,TRUE)/4</f>
        <v>0</v>
      </c>
      <c r="CU19" s="12">
        <v>10</v>
      </c>
      <c r="CV19" s="14" t="s">
        <v>126</v>
      </c>
      <c r="CW19" s="12">
        <f ca="1">COUNTIF(BU46:BU49,TRUE)/4</f>
        <v>0</v>
      </c>
      <c r="CX19" s="12">
        <f t="shared" ref="CX19" ca="1" si="85">COUNTIF(BV46:BV49,TRUE)/4</f>
        <v>0</v>
      </c>
      <c r="CY19" s="12">
        <f t="shared" ref="CY19" ca="1" si="86">COUNTIF(BW46:BW49,TRUE)/4</f>
        <v>0</v>
      </c>
    </row>
    <row r="20" spans="4:103" ht="16.5" customHeight="1">
      <c r="D20" s="19" t="s">
        <v>39</v>
      </c>
      <c r="E20" s="19" t="s">
        <v>58</v>
      </c>
      <c r="F20" s="19" t="s">
        <v>75</v>
      </c>
      <c r="G20" s="19" t="s">
        <v>80</v>
      </c>
      <c r="H20" s="19"/>
      <c r="I20" s="19"/>
      <c r="M20" s="19" t="s">
        <v>75</v>
      </c>
      <c r="N20" s="19" t="s">
        <v>80</v>
      </c>
      <c r="O20" s="19"/>
      <c r="P20" s="19"/>
      <c r="S20" s="19">
        <v>1</v>
      </c>
      <c r="T20" s="19">
        <v>2</v>
      </c>
      <c r="U20" s="19"/>
      <c r="V20" s="19"/>
      <c r="AH20" s="25">
        <v>11</v>
      </c>
      <c r="AI20" s="27" t="s">
        <v>6</v>
      </c>
      <c r="AJ20" s="25">
        <f ca="1">CB20+CI20+CP20+CW20</f>
        <v>1</v>
      </c>
      <c r="AK20" s="25">
        <f ca="1">CC20+CJ20+CQ20+CX20</f>
        <v>1</v>
      </c>
      <c r="AL20" s="25">
        <f ca="1">CD20+CK20+CR20+CY20</f>
        <v>1</v>
      </c>
      <c r="AP20" s="12">
        <v>11</v>
      </c>
      <c r="AQ20" s="14">
        <f t="shared" si="26"/>
        <v>36892.104166666642</v>
      </c>
      <c r="AR20" s="12" cm="1">
        <f t="array" aca="1" ref="AR20" ca="1">INDIRECT(ADDRESS(2+$AP20,1+MATCH($AB$9,INDIRECT($AB$16&amp;"!$B$2:$R$2"),0),1,1,$AB$16))</f>
        <v>0</v>
      </c>
      <c r="AS20" s="12" cm="1">
        <f t="array" aca="1" ref="AS20" ca="1">INDIRECT(ADDRESS(2+$AP20,1+MATCH($AB$9,INDIRECT($AB$17&amp;"!$B$2:$R$2"),0),1,1,$AB$17))</f>
        <v>0</v>
      </c>
      <c r="AT20" s="12" cm="1">
        <f t="array" aca="1" ref="AT20" ca="1">INDIRECT(ADDRESS(2+$AP20,1+MATCH($AB$9,INDIRECT($AB$18&amp;"!$B$2:$R$2"),0),1,1,$AB$18))</f>
        <v>0</v>
      </c>
      <c r="AX20" s="12">
        <v>11</v>
      </c>
      <c r="AY20" s="14">
        <f t="shared" si="27"/>
        <v>36892.104166666642</v>
      </c>
      <c r="AZ20" s="12" t="b">
        <f t="shared" ca="1" si="7"/>
        <v>1</v>
      </c>
      <c r="BA20" s="12" t="b">
        <f t="shared" ca="1" si="8"/>
        <v>1</v>
      </c>
      <c r="BB20" s="12" t="b">
        <f t="shared" ca="1" si="9"/>
        <v>1</v>
      </c>
      <c r="BE20" s="12">
        <v>11</v>
      </c>
      <c r="BF20" s="14">
        <f t="shared" si="28"/>
        <v>36892.104166666642</v>
      </c>
      <c r="BG20" s="12" t="str">
        <f t="shared" ca="1" si="10"/>
        <v/>
      </c>
      <c r="BH20" s="12" t="str">
        <f t="shared" ca="1" si="11"/>
        <v/>
      </c>
      <c r="BI20" s="12" t="str">
        <f t="shared" ca="1" si="12"/>
        <v/>
      </c>
      <c r="BL20" s="12">
        <v>11</v>
      </c>
      <c r="BM20" s="14">
        <f t="shared" si="29"/>
        <v>36892.104166666642</v>
      </c>
      <c r="BN20" s="12" t="str">
        <f t="shared" ca="1" si="13"/>
        <v/>
      </c>
      <c r="BO20" s="12" t="str">
        <f t="shared" ca="1" si="14"/>
        <v/>
      </c>
      <c r="BP20" s="12" t="str">
        <f t="shared" ca="1" si="15"/>
        <v/>
      </c>
      <c r="BS20" s="12">
        <v>11</v>
      </c>
      <c r="BT20" s="14">
        <f t="shared" si="30"/>
        <v>36892.104166666642</v>
      </c>
      <c r="BU20" s="12" t="str">
        <f t="shared" ca="1" si="16"/>
        <v/>
      </c>
      <c r="BV20" s="12" t="str">
        <f t="shared" ca="1" si="17"/>
        <v/>
      </c>
      <c r="BW20" s="12" t="str">
        <f t="shared" ca="1" si="18"/>
        <v/>
      </c>
      <c r="BZ20" s="12">
        <v>11</v>
      </c>
      <c r="CA20" s="14" t="s">
        <v>6</v>
      </c>
      <c r="CB20" s="12">
        <f ca="1">COUNTIF(AZ50:AZ53,TRUE)/4</f>
        <v>1</v>
      </c>
      <c r="CC20" s="12">
        <f t="shared" ref="CC20:CD20" ca="1" si="87">COUNTIF(BA50:BA53,TRUE)/4</f>
        <v>1</v>
      </c>
      <c r="CD20" s="12">
        <f t="shared" ca="1" si="87"/>
        <v>1</v>
      </c>
      <c r="CG20" s="12">
        <v>11</v>
      </c>
      <c r="CH20" s="14" t="s">
        <v>6</v>
      </c>
      <c r="CI20" s="12">
        <f ca="1">COUNTIF(BG50:BG53,TRUE)/4</f>
        <v>0</v>
      </c>
      <c r="CJ20" s="12">
        <f t="shared" ref="CJ20" ca="1" si="88">COUNTIF(BH50:BH53,TRUE)/4</f>
        <v>0</v>
      </c>
      <c r="CK20" s="12">
        <f t="shared" ref="CK20" ca="1" si="89">COUNTIF(BI50:BI53,TRUE)/4</f>
        <v>0</v>
      </c>
      <c r="CN20" s="12">
        <v>11</v>
      </c>
      <c r="CO20" s="14" t="s">
        <v>6</v>
      </c>
      <c r="CP20" s="12">
        <f ca="1">COUNTIF(BN50:BN53,TRUE)/4</f>
        <v>0</v>
      </c>
      <c r="CQ20" s="12">
        <f t="shared" ref="CQ20" ca="1" si="90">COUNTIF(BO50:BO53,TRUE)/4</f>
        <v>0</v>
      </c>
      <c r="CR20" s="12">
        <f t="shared" ref="CR20" ca="1" si="91">COUNTIF(BP50:BP53,TRUE)/4</f>
        <v>0</v>
      </c>
      <c r="CU20" s="12">
        <v>11</v>
      </c>
      <c r="CV20" s="14" t="s">
        <v>6</v>
      </c>
      <c r="CW20" s="12">
        <f ca="1">COUNTIF(BU50:BU53,TRUE)/4</f>
        <v>0</v>
      </c>
      <c r="CX20" s="12">
        <f t="shared" ref="CX20" ca="1" si="92">COUNTIF(BV50:BV53,TRUE)/4</f>
        <v>0</v>
      </c>
      <c r="CY20" s="12">
        <f t="shared" ref="CY20" ca="1" si="93">COUNTIF(BW50:BW53,TRUE)/4</f>
        <v>0</v>
      </c>
    </row>
    <row r="21" spans="4:103" ht="16.5" customHeight="1">
      <c r="D21" s="19" t="s">
        <v>40</v>
      </c>
      <c r="E21" s="19" t="s">
        <v>59</v>
      </c>
      <c r="F21" s="19" t="s">
        <v>82</v>
      </c>
      <c r="G21" s="19" t="s">
        <v>83</v>
      </c>
      <c r="H21" s="19"/>
      <c r="I21" s="19"/>
      <c r="M21" s="19" t="s">
        <v>83</v>
      </c>
      <c r="N21" s="19"/>
      <c r="O21" s="19"/>
      <c r="P21" s="19"/>
      <c r="S21" s="19"/>
      <c r="T21" s="19">
        <v>1</v>
      </c>
      <c r="U21" s="19"/>
      <c r="V21" s="19"/>
      <c r="Z21" s="10" t="s">
        <v>140</v>
      </c>
      <c r="AA21" s="10" t="s">
        <v>89</v>
      </c>
      <c r="AB21" s="10" t="str">
        <f>VLOOKUP($AB$9,$D$9:$V$24,10,FALSE)</f>
        <v>使用</v>
      </c>
      <c r="AH21" s="25">
        <v>12</v>
      </c>
      <c r="AI21" s="27" t="s">
        <v>7</v>
      </c>
      <c r="AJ21" s="25">
        <f ca="1">CB21+CI21+CP21+CW21</f>
        <v>1</v>
      </c>
      <c r="AK21" s="25">
        <f ca="1">CC21+CJ21+CQ21+CX21</f>
        <v>1</v>
      </c>
      <c r="AL21" s="25">
        <f ca="1">CD21+CK21+CR21+CY21</f>
        <v>1</v>
      </c>
      <c r="AP21" s="12">
        <v>12</v>
      </c>
      <c r="AQ21" s="14">
        <f t="shared" si="26"/>
        <v>36892.114583333307</v>
      </c>
      <c r="AR21" s="12" cm="1">
        <f t="array" aca="1" ref="AR21" ca="1">INDIRECT(ADDRESS(2+$AP21,1+MATCH($AB$9,INDIRECT($AB$16&amp;"!$B$2:$R$2"),0),1,1,$AB$16))</f>
        <v>0</v>
      </c>
      <c r="AS21" s="12" cm="1">
        <f t="array" aca="1" ref="AS21" ca="1">INDIRECT(ADDRESS(2+$AP21,1+MATCH($AB$9,INDIRECT($AB$17&amp;"!$B$2:$R$2"),0),1,1,$AB$17))</f>
        <v>0</v>
      </c>
      <c r="AT21" s="12" cm="1">
        <f t="array" aca="1" ref="AT21" ca="1">INDIRECT(ADDRESS(2+$AP21,1+MATCH($AB$9,INDIRECT($AB$18&amp;"!$B$2:$R$2"),0),1,1,$AB$18))</f>
        <v>0</v>
      </c>
      <c r="AX21" s="12">
        <v>12</v>
      </c>
      <c r="AY21" s="14">
        <f t="shared" si="27"/>
        <v>36892.114583333307</v>
      </c>
      <c r="AZ21" s="12" t="b">
        <f t="shared" ca="1" si="7"/>
        <v>1</v>
      </c>
      <c r="BA21" s="12" t="b">
        <f t="shared" ca="1" si="8"/>
        <v>1</v>
      </c>
      <c r="BB21" s="12" t="b">
        <f t="shared" ca="1" si="9"/>
        <v>1</v>
      </c>
      <c r="BE21" s="12">
        <v>12</v>
      </c>
      <c r="BF21" s="14">
        <f t="shared" si="28"/>
        <v>36892.114583333307</v>
      </c>
      <c r="BG21" s="12" t="str">
        <f t="shared" ca="1" si="10"/>
        <v/>
      </c>
      <c r="BH21" s="12" t="str">
        <f t="shared" ca="1" si="11"/>
        <v/>
      </c>
      <c r="BI21" s="12" t="str">
        <f t="shared" ca="1" si="12"/>
        <v/>
      </c>
      <c r="BL21" s="12">
        <v>12</v>
      </c>
      <c r="BM21" s="14">
        <f t="shared" si="29"/>
        <v>36892.114583333307</v>
      </c>
      <c r="BN21" s="12" t="str">
        <f t="shared" ca="1" si="13"/>
        <v/>
      </c>
      <c r="BO21" s="12" t="str">
        <f t="shared" ca="1" si="14"/>
        <v/>
      </c>
      <c r="BP21" s="12" t="str">
        <f t="shared" ca="1" si="15"/>
        <v/>
      </c>
      <c r="BS21" s="12">
        <v>12</v>
      </c>
      <c r="BT21" s="14">
        <f t="shared" si="30"/>
        <v>36892.114583333307</v>
      </c>
      <c r="BU21" s="12" t="str">
        <f t="shared" ca="1" si="16"/>
        <v/>
      </c>
      <c r="BV21" s="12" t="str">
        <f t="shared" ca="1" si="17"/>
        <v/>
      </c>
      <c r="BW21" s="12" t="str">
        <f t="shared" ca="1" si="18"/>
        <v/>
      </c>
      <c r="BZ21" s="12">
        <v>12</v>
      </c>
      <c r="CA21" s="14" t="s">
        <v>7</v>
      </c>
      <c r="CB21" s="12">
        <f ca="1">COUNTIF(AZ54:AZ57,TRUE)/4</f>
        <v>1</v>
      </c>
      <c r="CC21" s="12">
        <f t="shared" ref="CC21:CD21" ca="1" si="94">COUNTIF(BA54:BA57,TRUE)/4</f>
        <v>1</v>
      </c>
      <c r="CD21" s="12">
        <f t="shared" ca="1" si="94"/>
        <v>1</v>
      </c>
      <c r="CG21" s="12">
        <v>12</v>
      </c>
      <c r="CH21" s="14" t="s">
        <v>7</v>
      </c>
      <c r="CI21" s="12">
        <f ca="1">COUNTIF(BG54:BG57,TRUE)/4</f>
        <v>0</v>
      </c>
      <c r="CJ21" s="12">
        <f t="shared" ref="CJ21" ca="1" si="95">COUNTIF(BH54:BH57,TRUE)/4</f>
        <v>0</v>
      </c>
      <c r="CK21" s="12">
        <f t="shared" ref="CK21" ca="1" si="96">COUNTIF(BI54:BI57,TRUE)/4</f>
        <v>0</v>
      </c>
      <c r="CN21" s="12">
        <v>12</v>
      </c>
      <c r="CO21" s="14" t="s">
        <v>7</v>
      </c>
      <c r="CP21" s="12">
        <f ca="1">COUNTIF(BN54:BN57,TRUE)/4</f>
        <v>0</v>
      </c>
      <c r="CQ21" s="12">
        <f t="shared" ref="CQ21" ca="1" si="97">COUNTIF(BO54:BO57,TRUE)/4</f>
        <v>0</v>
      </c>
      <c r="CR21" s="12">
        <f t="shared" ref="CR21" ca="1" si="98">COUNTIF(BP54:BP57,TRUE)/4</f>
        <v>0</v>
      </c>
      <c r="CU21" s="12">
        <v>12</v>
      </c>
      <c r="CV21" s="14" t="s">
        <v>7</v>
      </c>
      <c r="CW21" s="12">
        <f ca="1">COUNTIF(BU54:BU57,TRUE)/4</f>
        <v>0</v>
      </c>
      <c r="CX21" s="12">
        <f t="shared" ref="CX21" ca="1" si="99">COUNTIF(BV54:BV57,TRUE)/4</f>
        <v>0</v>
      </c>
      <c r="CY21" s="12">
        <f t="shared" ref="CY21" ca="1" si="100">COUNTIF(BW54:BW57,TRUE)/4</f>
        <v>0</v>
      </c>
    </row>
    <row r="22" spans="4:103" ht="16.5" customHeight="1">
      <c r="D22" s="19" t="s">
        <v>41</v>
      </c>
      <c r="E22" s="19" t="s">
        <v>60</v>
      </c>
      <c r="F22" s="19" t="s">
        <v>70</v>
      </c>
      <c r="G22" s="19" t="s">
        <v>84</v>
      </c>
      <c r="H22" s="19"/>
      <c r="I22" s="19"/>
      <c r="M22" s="19" t="s">
        <v>84</v>
      </c>
      <c r="N22" s="19"/>
      <c r="O22" s="19"/>
      <c r="P22" s="19"/>
      <c r="S22" s="19"/>
      <c r="T22" s="19">
        <v>1</v>
      </c>
      <c r="U22" s="19"/>
      <c r="V22" s="19"/>
      <c r="Z22" s="10" t="s">
        <v>141</v>
      </c>
      <c r="AA22" s="10" t="s">
        <v>89</v>
      </c>
      <c r="AB22" s="10">
        <f>VLOOKUP($AB$9,$D$9:$V$24,11,FALSE)</f>
        <v>0</v>
      </c>
      <c r="AH22" s="25">
        <v>13</v>
      </c>
      <c r="AI22" s="27" t="s">
        <v>8</v>
      </c>
      <c r="AJ22" s="25">
        <f ca="1">CB22+CI22+CP22+CW22</f>
        <v>1</v>
      </c>
      <c r="AK22" s="25">
        <f ca="1">CC22+CJ22+CQ22+CX22</f>
        <v>1</v>
      </c>
      <c r="AL22" s="25">
        <f ca="1">CD22+CK22+CR22+CY22</f>
        <v>1</v>
      </c>
      <c r="AP22" s="12">
        <v>13</v>
      </c>
      <c r="AQ22" s="14">
        <f t="shared" si="26"/>
        <v>36892.124999999971</v>
      </c>
      <c r="AR22" s="12" cm="1">
        <f t="array" aca="1" ref="AR22" ca="1">INDIRECT(ADDRESS(2+$AP22,1+MATCH($AB$9,INDIRECT($AB$16&amp;"!$B$2:$R$2"),0),1,1,$AB$16))</f>
        <v>0</v>
      </c>
      <c r="AS22" s="12" cm="1">
        <f t="array" aca="1" ref="AS22" ca="1">INDIRECT(ADDRESS(2+$AP22,1+MATCH($AB$9,INDIRECT($AB$17&amp;"!$B$2:$R$2"),0),1,1,$AB$17))</f>
        <v>0</v>
      </c>
      <c r="AT22" s="12" cm="1">
        <f t="array" aca="1" ref="AT22" ca="1">INDIRECT(ADDRESS(2+$AP22,1+MATCH($AB$9,INDIRECT($AB$18&amp;"!$B$2:$R$2"),0),1,1,$AB$18))</f>
        <v>0</v>
      </c>
      <c r="AX22" s="12">
        <v>13</v>
      </c>
      <c r="AY22" s="14">
        <f t="shared" si="27"/>
        <v>36892.124999999971</v>
      </c>
      <c r="AZ22" s="12" t="b">
        <f t="shared" ca="1" si="7"/>
        <v>1</v>
      </c>
      <c r="BA22" s="12" t="b">
        <f t="shared" ca="1" si="8"/>
        <v>1</v>
      </c>
      <c r="BB22" s="12" t="b">
        <f t="shared" ca="1" si="9"/>
        <v>1</v>
      </c>
      <c r="BE22" s="12">
        <v>13</v>
      </c>
      <c r="BF22" s="14">
        <f t="shared" si="28"/>
        <v>36892.124999999971</v>
      </c>
      <c r="BG22" s="12" t="str">
        <f t="shared" ca="1" si="10"/>
        <v/>
      </c>
      <c r="BH22" s="12" t="str">
        <f t="shared" ca="1" si="11"/>
        <v/>
      </c>
      <c r="BI22" s="12" t="str">
        <f t="shared" ca="1" si="12"/>
        <v/>
      </c>
      <c r="BL22" s="12">
        <v>13</v>
      </c>
      <c r="BM22" s="14">
        <f t="shared" si="29"/>
        <v>36892.124999999971</v>
      </c>
      <c r="BN22" s="12" t="str">
        <f t="shared" ca="1" si="13"/>
        <v/>
      </c>
      <c r="BO22" s="12" t="str">
        <f t="shared" ca="1" si="14"/>
        <v/>
      </c>
      <c r="BP22" s="12" t="str">
        <f t="shared" ca="1" si="15"/>
        <v/>
      </c>
      <c r="BS22" s="12">
        <v>13</v>
      </c>
      <c r="BT22" s="14">
        <f t="shared" si="30"/>
        <v>36892.124999999971</v>
      </c>
      <c r="BU22" s="12" t="str">
        <f t="shared" ca="1" si="16"/>
        <v/>
      </c>
      <c r="BV22" s="12" t="str">
        <f t="shared" ca="1" si="17"/>
        <v/>
      </c>
      <c r="BW22" s="12" t="str">
        <f t="shared" ca="1" si="18"/>
        <v/>
      </c>
      <c r="BZ22" s="12">
        <v>13</v>
      </c>
      <c r="CA22" s="14" t="s">
        <v>8</v>
      </c>
      <c r="CB22" s="12">
        <f ca="1">COUNTIF(AZ58:AZ61,TRUE)/4</f>
        <v>1</v>
      </c>
      <c r="CC22" s="12">
        <f t="shared" ref="CC22:CD22" ca="1" si="101">COUNTIF(BA58:BA61,TRUE)/4</f>
        <v>1</v>
      </c>
      <c r="CD22" s="12">
        <f t="shared" ca="1" si="101"/>
        <v>1</v>
      </c>
      <c r="CG22" s="12">
        <v>13</v>
      </c>
      <c r="CH22" s="14" t="s">
        <v>8</v>
      </c>
      <c r="CI22" s="12">
        <f ca="1">COUNTIF(BG58:BG61,TRUE)/4</f>
        <v>0</v>
      </c>
      <c r="CJ22" s="12">
        <f t="shared" ref="CJ22" ca="1" si="102">COUNTIF(BH58:BH61,TRUE)/4</f>
        <v>0</v>
      </c>
      <c r="CK22" s="12">
        <f t="shared" ref="CK22" ca="1" si="103">COUNTIF(BI58:BI61,TRUE)/4</f>
        <v>0</v>
      </c>
      <c r="CN22" s="12">
        <v>13</v>
      </c>
      <c r="CO22" s="14" t="s">
        <v>8</v>
      </c>
      <c r="CP22" s="12">
        <f ca="1">COUNTIF(BN58:BN61,TRUE)/4</f>
        <v>0</v>
      </c>
      <c r="CQ22" s="12">
        <f t="shared" ref="CQ22" ca="1" si="104">COUNTIF(BO58:BO61,TRUE)/4</f>
        <v>0</v>
      </c>
      <c r="CR22" s="12">
        <f t="shared" ref="CR22" ca="1" si="105">COUNTIF(BP58:BP61,TRUE)/4</f>
        <v>0</v>
      </c>
      <c r="CU22" s="12">
        <v>13</v>
      </c>
      <c r="CV22" s="14" t="s">
        <v>8</v>
      </c>
      <c r="CW22" s="12">
        <f ca="1">COUNTIF(BU58:BU61,TRUE)/4</f>
        <v>0</v>
      </c>
      <c r="CX22" s="12">
        <f t="shared" ref="CX22" ca="1" si="106">COUNTIF(BV58:BV61,TRUE)/4</f>
        <v>0</v>
      </c>
      <c r="CY22" s="12">
        <f t="shared" ref="CY22" ca="1" si="107">COUNTIF(BW58:BW61,TRUE)/4</f>
        <v>0</v>
      </c>
    </row>
    <row r="23" spans="4:103" ht="16.5" customHeight="1">
      <c r="D23" s="19" t="s">
        <v>42</v>
      </c>
      <c r="E23" s="19" t="s">
        <v>61</v>
      </c>
      <c r="F23" s="19" t="s">
        <v>70</v>
      </c>
      <c r="G23" s="19" t="s">
        <v>78</v>
      </c>
      <c r="H23" s="19"/>
      <c r="I23" s="19"/>
      <c r="M23" s="19" t="s">
        <v>78</v>
      </c>
      <c r="N23" s="19"/>
      <c r="O23" s="19"/>
      <c r="P23" s="19"/>
      <c r="S23" s="19"/>
      <c r="T23" s="19">
        <v>1</v>
      </c>
      <c r="U23" s="19"/>
      <c r="V23" s="19"/>
      <c r="Z23" s="10" t="s">
        <v>142</v>
      </c>
      <c r="AA23" s="10" t="s">
        <v>89</v>
      </c>
      <c r="AB23" s="10">
        <f>VLOOKUP($AB$9,$D$9:$V$24,12,FALSE)</f>
        <v>0</v>
      </c>
      <c r="AH23" s="25">
        <v>14</v>
      </c>
      <c r="AI23" s="27" t="s">
        <v>9</v>
      </c>
      <c r="AJ23" s="25">
        <f ca="1">CB23+CI23+CP23+CW23</f>
        <v>1</v>
      </c>
      <c r="AK23" s="25">
        <f ca="1">CC23+CJ23+CQ23+CX23</f>
        <v>1</v>
      </c>
      <c r="AL23" s="25">
        <f ca="1">CD23+CK23+CR23+CY23</f>
        <v>1</v>
      </c>
      <c r="AP23" s="12">
        <v>14</v>
      </c>
      <c r="AQ23" s="14">
        <f t="shared" si="26"/>
        <v>36892.135416666635</v>
      </c>
      <c r="AR23" s="12" cm="1">
        <f t="array" aca="1" ref="AR23" ca="1">INDIRECT(ADDRESS(2+$AP23,1+MATCH($AB$9,INDIRECT($AB$16&amp;"!$B$2:$R$2"),0),1,1,$AB$16))</f>
        <v>0</v>
      </c>
      <c r="AS23" s="12" cm="1">
        <f t="array" aca="1" ref="AS23" ca="1">INDIRECT(ADDRESS(2+$AP23,1+MATCH($AB$9,INDIRECT($AB$17&amp;"!$B$2:$R$2"),0),1,1,$AB$17))</f>
        <v>0</v>
      </c>
      <c r="AT23" s="12" cm="1">
        <f t="array" aca="1" ref="AT23" ca="1">INDIRECT(ADDRESS(2+$AP23,1+MATCH($AB$9,INDIRECT($AB$18&amp;"!$B$2:$R$2"),0),1,1,$AB$18))</f>
        <v>0</v>
      </c>
      <c r="AX23" s="12">
        <v>14</v>
      </c>
      <c r="AY23" s="14">
        <f t="shared" si="27"/>
        <v>36892.135416666635</v>
      </c>
      <c r="AZ23" s="12" t="b">
        <f t="shared" ca="1" si="7"/>
        <v>1</v>
      </c>
      <c r="BA23" s="12" t="b">
        <f t="shared" ca="1" si="8"/>
        <v>1</v>
      </c>
      <c r="BB23" s="12" t="b">
        <f t="shared" ca="1" si="9"/>
        <v>1</v>
      </c>
      <c r="BE23" s="12">
        <v>14</v>
      </c>
      <c r="BF23" s="14">
        <f t="shared" si="28"/>
        <v>36892.135416666635</v>
      </c>
      <c r="BG23" s="12" t="str">
        <f t="shared" ca="1" si="10"/>
        <v/>
      </c>
      <c r="BH23" s="12" t="str">
        <f t="shared" ca="1" si="11"/>
        <v/>
      </c>
      <c r="BI23" s="12" t="str">
        <f t="shared" ca="1" si="12"/>
        <v/>
      </c>
      <c r="BL23" s="12">
        <v>14</v>
      </c>
      <c r="BM23" s="14">
        <f t="shared" si="29"/>
        <v>36892.135416666635</v>
      </c>
      <c r="BN23" s="12" t="str">
        <f t="shared" ca="1" si="13"/>
        <v/>
      </c>
      <c r="BO23" s="12" t="str">
        <f t="shared" ca="1" si="14"/>
        <v/>
      </c>
      <c r="BP23" s="12" t="str">
        <f t="shared" ca="1" si="15"/>
        <v/>
      </c>
      <c r="BS23" s="12">
        <v>14</v>
      </c>
      <c r="BT23" s="14">
        <f t="shared" si="30"/>
        <v>36892.135416666635</v>
      </c>
      <c r="BU23" s="12" t="str">
        <f t="shared" ca="1" si="16"/>
        <v/>
      </c>
      <c r="BV23" s="12" t="str">
        <f t="shared" ca="1" si="17"/>
        <v/>
      </c>
      <c r="BW23" s="12" t="str">
        <f t="shared" ca="1" si="18"/>
        <v/>
      </c>
      <c r="BZ23" s="12">
        <v>14</v>
      </c>
      <c r="CA23" s="14" t="s">
        <v>9</v>
      </c>
      <c r="CB23" s="12">
        <f ca="1">COUNTIF(AZ62:AZ65,TRUE)/4</f>
        <v>1</v>
      </c>
      <c r="CC23" s="12">
        <f t="shared" ref="CC23:CD23" ca="1" si="108">COUNTIF(BA62:BA65,TRUE)/4</f>
        <v>1</v>
      </c>
      <c r="CD23" s="12">
        <f t="shared" ca="1" si="108"/>
        <v>1</v>
      </c>
      <c r="CG23" s="12">
        <v>14</v>
      </c>
      <c r="CH23" s="14" t="s">
        <v>9</v>
      </c>
      <c r="CI23" s="12">
        <f ca="1">COUNTIF(BG62:BG65,TRUE)/4</f>
        <v>0</v>
      </c>
      <c r="CJ23" s="12">
        <f t="shared" ref="CJ23" ca="1" si="109">COUNTIF(BH62:BH65,TRUE)/4</f>
        <v>0</v>
      </c>
      <c r="CK23" s="12">
        <f t="shared" ref="CK23" ca="1" si="110">COUNTIF(BI62:BI65,TRUE)/4</f>
        <v>0</v>
      </c>
      <c r="CN23" s="12">
        <v>14</v>
      </c>
      <c r="CO23" s="14" t="s">
        <v>9</v>
      </c>
      <c r="CP23" s="12">
        <f ca="1">COUNTIF(BN62:BN65,TRUE)/4</f>
        <v>0</v>
      </c>
      <c r="CQ23" s="12">
        <f t="shared" ref="CQ23" ca="1" si="111">COUNTIF(BO62:BO65,TRUE)/4</f>
        <v>0</v>
      </c>
      <c r="CR23" s="12">
        <f t="shared" ref="CR23" ca="1" si="112">COUNTIF(BP62:BP65,TRUE)/4</f>
        <v>0</v>
      </c>
      <c r="CU23" s="12">
        <v>14</v>
      </c>
      <c r="CV23" s="14" t="s">
        <v>9</v>
      </c>
      <c r="CW23" s="12">
        <f ca="1">COUNTIF(BU62:BU65,TRUE)/4</f>
        <v>0</v>
      </c>
      <c r="CX23" s="12">
        <f t="shared" ref="CX23" ca="1" si="113">COUNTIF(BV62:BV65,TRUE)/4</f>
        <v>0</v>
      </c>
      <c r="CY23" s="12">
        <f t="shared" ref="CY23" ca="1" si="114">COUNTIF(BW62:BW65,TRUE)/4</f>
        <v>0</v>
      </c>
    </row>
    <row r="24" spans="4:103" ht="16.5" customHeight="1">
      <c r="D24" s="19" t="s">
        <v>43</v>
      </c>
      <c r="E24" s="19" t="s">
        <v>62</v>
      </c>
      <c r="F24" s="19"/>
      <c r="G24" s="19" t="s">
        <v>85</v>
      </c>
      <c r="H24" s="19"/>
      <c r="I24" s="19"/>
      <c r="M24" s="19" t="s">
        <v>85</v>
      </c>
      <c r="N24" s="19"/>
      <c r="O24" s="19"/>
      <c r="P24" s="19"/>
      <c r="S24" s="19"/>
      <c r="T24" s="19">
        <v>1</v>
      </c>
      <c r="U24" s="19"/>
      <c r="V24" s="19"/>
      <c r="Z24" s="10" t="s">
        <v>143</v>
      </c>
      <c r="AA24" s="10" t="s">
        <v>89</v>
      </c>
      <c r="AB24" s="10">
        <f>VLOOKUP($AB$9,$D$9:$V$24,13,FALSE)</f>
        <v>0</v>
      </c>
      <c r="AH24" s="25">
        <v>15</v>
      </c>
      <c r="AI24" s="27" t="s">
        <v>10</v>
      </c>
      <c r="AJ24" s="25">
        <f ca="1">CB24+CI24+CP24+CW24</f>
        <v>1</v>
      </c>
      <c r="AK24" s="25">
        <f ca="1">CC24+CJ24+CQ24+CX24</f>
        <v>1</v>
      </c>
      <c r="AL24" s="25">
        <f ca="1">CD24+CK24+CR24+CY24</f>
        <v>1</v>
      </c>
      <c r="AP24" s="12">
        <v>15</v>
      </c>
      <c r="AQ24" s="14">
        <f t="shared" si="26"/>
        <v>36892.145833333299</v>
      </c>
      <c r="AR24" s="12" cm="1">
        <f t="array" aca="1" ref="AR24" ca="1">INDIRECT(ADDRESS(2+$AP24,1+MATCH($AB$9,INDIRECT($AB$16&amp;"!$B$2:$R$2"),0),1,1,$AB$16))</f>
        <v>0</v>
      </c>
      <c r="AS24" s="12" cm="1">
        <f t="array" aca="1" ref="AS24" ca="1">INDIRECT(ADDRESS(2+$AP24,1+MATCH($AB$9,INDIRECT($AB$17&amp;"!$B$2:$R$2"),0),1,1,$AB$17))</f>
        <v>0</v>
      </c>
      <c r="AT24" s="12" cm="1">
        <f t="array" aca="1" ref="AT24" ca="1">INDIRECT(ADDRESS(2+$AP24,1+MATCH($AB$9,INDIRECT($AB$18&amp;"!$B$2:$R$2"),0),1,1,$AB$18))</f>
        <v>0</v>
      </c>
      <c r="AX24" s="12">
        <v>15</v>
      </c>
      <c r="AY24" s="14">
        <f t="shared" si="27"/>
        <v>36892.145833333299</v>
      </c>
      <c r="AZ24" s="12" t="b">
        <f t="shared" ca="1" si="7"/>
        <v>1</v>
      </c>
      <c r="BA24" s="12" t="b">
        <f t="shared" ca="1" si="8"/>
        <v>1</v>
      </c>
      <c r="BB24" s="12" t="b">
        <f t="shared" ca="1" si="9"/>
        <v>1</v>
      </c>
      <c r="BE24" s="12">
        <v>15</v>
      </c>
      <c r="BF24" s="14">
        <f t="shared" si="28"/>
        <v>36892.145833333299</v>
      </c>
      <c r="BG24" s="12" t="str">
        <f t="shared" ca="1" si="10"/>
        <v/>
      </c>
      <c r="BH24" s="12" t="str">
        <f t="shared" ca="1" si="11"/>
        <v/>
      </c>
      <c r="BI24" s="12" t="str">
        <f t="shared" ca="1" si="12"/>
        <v/>
      </c>
      <c r="BL24" s="12">
        <v>15</v>
      </c>
      <c r="BM24" s="14">
        <f t="shared" si="29"/>
        <v>36892.145833333299</v>
      </c>
      <c r="BN24" s="12" t="str">
        <f t="shared" ca="1" si="13"/>
        <v/>
      </c>
      <c r="BO24" s="12" t="str">
        <f t="shared" ca="1" si="14"/>
        <v/>
      </c>
      <c r="BP24" s="12" t="str">
        <f t="shared" ca="1" si="15"/>
        <v/>
      </c>
      <c r="BS24" s="12">
        <v>15</v>
      </c>
      <c r="BT24" s="14">
        <f t="shared" si="30"/>
        <v>36892.145833333299</v>
      </c>
      <c r="BU24" s="12" t="str">
        <f t="shared" ca="1" si="16"/>
        <v/>
      </c>
      <c r="BV24" s="12" t="str">
        <f t="shared" ca="1" si="17"/>
        <v/>
      </c>
      <c r="BW24" s="12" t="str">
        <f t="shared" ca="1" si="18"/>
        <v/>
      </c>
      <c r="BZ24" s="12">
        <v>15</v>
      </c>
      <c r="CA24" s="14" t="s">
        <v>10</v>
      </c>
      <c r="CB24" s="12">
        <f ca="1">COUNTIF(AZ66:AZ69,TRUE)/4</f>
        <v>1</v>
      </c>
      <c r="CC24" s="12">
        <f t="shared" ref="CC24:CD24" ca="1" si="115">COUNTIF(BA66:BA69,TRUE)/4</f>
        <v>1</v>
      </c>
      <c r="CD24" s="12">
        <f t="shared" ca="1" si="115"/>
        <v>1</v>
      </c>
      <c r="CG24" s="12">
        <v>15</v>
      </c>
      <c r="CH24" s="14" t="s">
        <v>10</v>
      </c>
      <c r="CI24" s="12">
        <f ca="1">COUNTIF(BG66:BG69,TRUE)/4</f>
        <v>0</v>
      </c>
      <c r="CJ24" s="12">
        <f t="shared" ref="CJ24" ca="1" si="116">COUNTIF(BH66:BH69,TRUE)/4</f>
        <v>0</v>
      </c>
      <c r="CK24" s="12">
        <f t="shared" ref="CK24" ca="1" si="117">COUNTIF(BI66:BI69,TRUE)/4</f>
        <v>0</v>
      </c>
      <c r="CN24" s="12">
        <v>15</v>
      </c>
      <c r="CO24" s="14" t="s">
        <v>10</v>
      </c>
      <c r="CP24" s="12">
        <f ca="1">COUNTIF(BN66:BN69,TRUE)/4</f>
        <v>0</v>
      </c>
      <c r="CQ24" s="12">
        <f t="shared" ref="CQ24" ca="1" si="118">COUNTIF(BO66:BO69,TRUE)/4</f>
        <v>0</v>
      </c>
      <c r="CR24" s="12">
        <f t="shared" ref="CR24" ca="1" si="119">COUNTIF(BP66:BP69,TRUE)/4</f>
        <v>0</v>
      </c>
      <c r="CU24" s="12">
        <v>15</v>
      </c>
      <c r="CV24" s="14" t="s">
        <v>10</v>
      </c>
      <c r="CW24" s="12">
        <f ca="1">COUNTIF(BU66:BU69,TRUE)/4</f>
        <v>0</v>
      </c>
      <c r="CX24" s="12">
        <f t="shared" ref="CX24" ca="1" si="120">COUNTIF(BV66:BV69,TRUE)/4</f>
        <v>0</v>
      </c>
      <c r="CY24" s="12">
        <f t="shared" ref="CY24" ca="1" si="121">COUNTIF(BW66:BW69,TRUE)/4</f>
        <v>0</v>
      </c>
    </row>
    <row r="25" spans="4:103" ht="16.5" customHeight="1">
      <c r="AH25" s="25">
        <v>16</v>
      </c>
      <c r="AI25" s="27" t="s">
        <v>11</v>
      </c>
      <c r="AJ25" s="25">
        <f ca="1">CB25+CI25+CP25+CW25</f>
        <v>1</v>
      </c>
      <c r="AK25" s="25">
        <f ca="1">CC25+CJ25+CQ25+CX25</f>
        <v>1</v>
      </c>
      <c r="AL25" s="25">
        <f ca="1">CD25+CK25+CR25+CY25</f>
        <v>1</v>
      </c>
      <c r="AP25" s="12">
        <v>16</v>
      </c>
      <c r="AQ25" s="14">
        <f t="shared" si="26"/>
        <v>36892.156249999964</v>
      </c>
      <c r="AR25" s="12" cm="1">
        <f t="array" aca="1" ref="AR25" ca="1">INDIRECT(ADDRESS(2+$AP25,1+MATCH($AB$9,INDIRECT($AB$16&amp;"!$B$2:$R$2"),0),1,1,$AB$16))</f>
        <v>0</v>
      </c>
      <c r="AS25" s="12" cm="1">
        <f t="array" aca="1" ref="AS25" ca="1">INDIRECT(ADDRESS(2+$AP25,1+MATCH($AB$9,INDIRECT($AB$17&amp;"!$B$2:$R$2"),0),1,1,$AB$17))</f>
        <v>0</v>
      </c>
      <c r="AT25" s="12" cm="1">
        <f t="array" aca="1" ref="AT25" ca="1">INDIRECT(ADDRESS(2+$AP25,1+MATCH($AB$9,INDIRECT($AB$18&amp;"!$B$2:$R$2"),0),1,1,$AB$18))</f>
        <v>0</v>
      </c>
      <c r="AX25" s="12">
        <v>16</v>
      </c>
      <c r="AY25" s="14">
        <f t="shared" si="27"/>
        <v>36892.156249999964</v>
      </c>
      <c r="AZ25" s="12" t="b">
        <f t="shared" ca="1" si="7"/>
        <v>1</v>
      </c>
      <c r="BA25" s="12" t="b">
        <f t="shared" ca="1" si="8"/>
        <v>1</v>
      </c>
      <c r="BB25" s="12" t="b">
        <f t="shared" ca="1" si="9"/>
        <v>1</v>
      </c>
      <c r="BE25" s="12">
        <v>16</v>
      </c>
      <c r="BF25" s="14">
        <f t="shared" si="28"/>
        <v>36892.156249999964</v>
      </c>
      <c r="BG25" s="12" t="str">
        <f t="shared" ca="1" si="10"/>
        <v/>
      </c>
      <c r="BH25" s="12" t="str">
        <f t="shared" ca="1" si="11"/>
        <v/>
      </c>
      <c r="BI25" s="12" t="str">
        <f t="shared" ca="1" si="12"/>
        <v/>
      </c>
      <c r="BL25" s="12">
        <v>16</v>
      </c>
      <c r="BM25" s="14">
        <f t="shared" si="29"/>
        <v>36892.156249999964</v>
      </c>
      <c r="BN25" s="12" t="str">
        <f t="shared" ca="1" si="13"/>
        <v/>
      </c>
      <c r="BO25" s="12" t="str">
        <f t="shared" ca="1" si="14"/>
        <v/>
      </c>
      <c r="BP25" s="12" t="str">
        <f t="shared" ca="1" si="15"/>
        <v/>
      </c>
      <c r="BS25" s="12">
        <v>16</v>
      </c>
      <c r="BT25" s="14">
        <f t="shared" si="30"/>
        <v>36892.156249999964</v>
      </c>
      <c r="BU25" s="12" t="str">
        <f t="shared" ca="1" si="16"/>
        <v/>
      </c>
      <c r="BV25" s="12" t="str">
        <f t="shared" ca="1" si="17"/>
        <v/>
      </c>
      <c r="BW25" s="12" t="str">
        <f t="shared" ca="1" si="18"/>
        <v/>
      </c>
      <c r="BZ25" s="12">
        <v>16</v>
      </c>
      <c r="CA25" s="14" t="s">
        <v>11</v>
      </c>
      <c r="CB25" s="12">
        <f ca="1">COUNTIF(AZ70:AZ73,TRUE)/4</f>
        <v>1</v>
      </c>
      <c r="CC25" s="12">
        <f t="shared" ref="CC25:CD25" ca="1" si="122">COUNTIF(BA70:BA73,TRUE)/4</f>
        <v>1</v>
      </c>
      <c r="CD25" s="12">
        <f t="shared" ca="1" si="122"/>
        <v>1</v>
      </c>
      <c r="CG25" s="12">
        <v>16</v>
      </c>
      <c r="CH25" s="14" t="s">
        <v>11</v>
      </c>
      <c r="CI25" s="12">
        <f ca="1">COUNTIF(BG70:BG73,TRUE)/4</f>
        <v>0</v>
      </c>
      <c r="CJ25" s="12">
        <f t="shared" ref="CJ25" ca="1" si="123">COUNTIF(BH70:BH73,TRUE)/4</f>
        <v>0</v>
      </c>
      <c r="CK25" s="12">
        <f t="shared" ref="CK25" ca="1" si="124">COUNTIF(BI70:BI73,TRUE)/4</f>
        <v>0</v>
      </c>
      <c r="CN25" s="12">
        <v>16</v>
      </c>
      <c r="CO25" s="14" t="s">
        <v>11</v>
      </c>
      <c r="CP25" s="12">
        <f ca="1">COUNTIF(BN70:BN73,TRUE)/4</f>
        <v>0</v>
      </c>
      <c r="CQ25" s="12">
        <f t="shared" ref="CQ25" ca="1" si="125">COUNTIF(BO70:BO73,TRUE)/4</f>
        <v>0</v>
      </c>
      <c r="CR25" s="12">
        <f t="shared" ref="CR25" ca="1" si="126">COUNTIF(BP70:BP73,TRUE)/4</f>
        <v>0</v>
      </c>
      <c r="CU25" s="12">
        <v>16</v>
      </c>
      <c r="CV25" s="14" t="s">
        <v>11</v>
      </c>
      <c r="CW25" s="12">
        <f ca="1">COUNTIF(BU70:BU73,TRUE)/4</f>
        <v>0</v>
      </c>
      <c r="CX25" s="12">
        <f t="shared" ref="CX25" ca="1" si="127">COUNTIF(BV70:BV73,TRUE)/4</f>
        <v>0</v>
      </c>
      <c r="CY25" s="12">
        <f t="shared" ref="CY25" ca="1" si="128">COUNTIF(BW70:BW73,TRUE)/4</f>
        <v>0</v>
      </c>
    </row>
    <row r="26" spans="4:103" ht="16.5" customHeight="1">
      <c r="Z26" s="10" t="s">
        <v>144</v>
      </c>
      <c r="AA26" s="10" t="s">
        <v>89</v>
      </c>
      <c r="AB26" s="10">
        <f>VLOOKUP($AB$9,$D$9:$V$24,16,FALSE)</f>
        <v>0</v>
      </c>
      <c r="AH26" s="25">
        <v>17</v>
      </c>
      <c r="AI26" s="27" t="s">
        <v>12</v>
      </c>
      <c r="AJ26" s="25">
        <f ca="1">CB26+CI26+CP26+CW26</f>
        <v>1</v>
      </c>
      <c r="AK26" s="25">
        <f ca="1">CC26+CJ26+CQ26+CX26</f>
        <v>1</v>
      </c>
      <c r="AL26" s="25">
        <f ca="1">CD26+CK26+CR26+CY26</f>
        <v>1</v>
      </c>
      <c r="AP26" s="12">
        <v>17</v>
      </c>
      <c r="AQ26" s="14">
        <f t="shared" si="26"/>
        <v>36892.166666666628</v>
      </c>
      <c r="AR26" s="12" cm="1">
        <f t="array" aca="1" ref="AR26" ca="1">INDIRECT(ADDRESS(2+$AP26,1+MATCH($AB$9,INDIRECT($AB$16&amp;"!$B$2:$R$2"),0),1,1,$AB$16))</f>
        <v>0</v>
      </c>
      <c r="AS26" s="12" cm="1">
        <f t="array" aca="1" ref="AS26" ca="1">INDIRECT(ADDRESS(2+$AP26,1+MATCH($AB$9,INDIRECT($AB$17&amp;"!$B$2:$R$2"),0),1,1,$AB$17))</f>
        <v>0</v>
      </c>
      <c r="AT26" s="12" cm="1">
        <f t="array" aca="1" ref="AT26" ca="1">INDIRECT(ADDRESS(2+$AP26,1+MATCH($AB$9,INDIRECT($AB$18&amp;"!$B$2:$R$2"),0),1,1,$AB$18))</f>
        <v>0</v>
      </c>
      <c r="AX26" s="12">
        <v>17</v>
      </c>
      <c r="AY26" s="14">
        <f t="shared" si="27"/>
        <v>36892.166666666628</v>
      </c>
      <c r="AZ26" s="12" t="b">
        <f t="shared" ca="1" si="7"/>
        <v>1</v>
      </c>
      <c r="BA26" s="12" t="b">
        <f t="shared" ca="1" si="8"/>
        <v>1</v>
      </c>
      <c r="BB26" s="12" t="b">
        <f t="shared" ca="1" si="9"/>
        <v>1</v>
      </c>
      <c r="BE26" s="12">
        <v>17</v>
      </c>
      <c r="BF26" s="14">
        <f t="shared" si="28"/>
        <v>36892.166666666628</v>
      </c>
      <c r="BG26" s="12" t="str">
        <f t="shared" ca="1" si="10"/>
        <v/>
      </c>
      <c r="BH26" s="12" t="str">
        <f t="shared" ca="1" si="11"/>
        <v/>
      </c>
      <c r="BI26" s="12" t="str">
        <f t="shared" ca="1" si="12"/>
        <v/>
      </c>
      <c r="BL26" s="12">
        <v>17</v>
      </c>
      <c r="BM26" s="14">
        <f t="shared" si="29"/>
        <v>36892.166666666628</v>
      </c>
      <c r="BN26" s="12" t="str">
        <f t="shared" ca="1" si="13"/>
        <v/>
      </c>
      <c r="BO26" s="12" t="str">
        <f t="shared" ca="1" si="14"/>
        <v/>
      </c>
      <c r="BP26" s="12" t="str">
        <f t="shared" ca="1" si="15"/>
        <v/>
      </c>
      <c r="BS26" s="12">
        <v>17</v>
      </c>
      <c r="BT26" s="14">
        <f t="shared" si="30"/>
        <v>36892.166666666628</v>
      </c>
      <c r="BU26" s="12" t="str">
        <f t="shared" ca="1" si="16"/>
        <v/>
      </c>
      <c r="BV26" s="12" t="str">
        <f t="shared" ca="1" si="17"/>
        <v/>
      </c>
      <c r="BW26" s="12" t="str">
        <f t="shared" ca="1" si="18"/>
        <v/>
      </c>
      <c r="BZ26" s="12">
        <v>17</v>
      </c>
      <c r="CA26" s="14" t="s">
        <v>12</v>
      </c>
      <c r="CB26" s="12">
        <f ca="1">COUNTIF(AZ74:AZ77,TRUE)/4</f>
        <v>1</v>
      </c>
      <c r="CC26" s="12">
        <f t="shared" ref="CC26:CD26" ca="1" si="129">COUNTIF(BA74:BA77,TRUE)/4</f>
        <v>0.75</v>
      </c>
      <c r="CD26" s="12">
        <f t="shared" ca="1" si="129"/>
        <v>1</v>
      </c>
      <c r="CG26" s="12">
        <v>17</v>
      </c>
      <c r="CH26" s="14" t="s">
        <v>12</v>
      </c>
      <c r="CI26" s="12">
        <f ca="1">COUNTIF(BG74:BG77,TRUE)/4</f>
        <v>0</v>
      </c>
      <c r="CJ26" s="12">
        <f t="shared" ref="CJ26" ca="1" si="130">COUNTIF(BH74:BH77,TRUE)/4</f>
        <v>0.25</v>
      </c>
      <c r="CK26" s="12">
        <f t="shared" ref="CK26" ca="1" si="131">COUNTIF(BI74:BI77,TRUE)/4</f>
        <v>0</v>
      </c>
      <c r="CN26" s="12">
        <v>17</v>
      </c>
      <c r="CO26" s="14" t="s">
        <v>12</v>
      </c>
      <c r="CP26" s="12">
        <f ca="1">COUNTIF(BN74:BN77,TRUE)/4</f>
        <v>0</v>
      </c>
      <c r="CQ26" s="12">
        <f t="shared" ref="CQ26" ca="1" si="132">COUNTIF(BO74:BO77,TRUE)/4</f>
        <v>0</v>
      </c>
      <c r="CR26" s="12">
        <f t="shared" ref="CR26" ca="1" si="133">COUNTIF(BP74:BP77,TRUE)/4</f>
        <v>0</v>
      </c>
      <c r="CU26" s="12">
        <v>17</v>
      </c>
      <c r="CV26" s="14" t="s">
        <v>12</v>
      </c>
      <c r="CW26" s="12">
        <f ca="1">COUNTIF(BU74:BU77,TRUE)/4</f>
        <v>0</v>
      </c>
      <c r="CX26" s="12">
        <f t="shared" ref="CX26" ca="1" si="134">COUNTIF(BV74:BV77,TRUE)/4</f>
        <v>0</v>
      </c>
      <c r="CY26" s="12">
        <f t="shared" ref="CY26" ca="1" si="135">COUNTIF(BW74:BW77,TRUE)/4</f>
        <v>0</v>
      </c>
    </row>
    <row r="27" spans="4:103" ht="16.5" customHeight="1">
      <c r="Z27" s="10" t="s">
        <v>145</v>
      </c>
      <c r="AA27" s="10" t="s">
        <v>89</v>
      </c>
      <c r="AB27" s="10">
        <f>VLOOKUP($AB$9,$D$9:$V$24,17,FALSE)</f>
        <v>1</v>
      </c>
      <c r="AH27" s="25">
        <v>18</v>
      </c>
      <c r="AI27" s="27" t="s">
        <v>13</v>
      </c>
      <c r="AJ27" s="25">
        <f ca="1">CB27+CI27+CP27+CW27</f>
        <v>1</v>
      </c>
      <c r="AK27" s="25">
        <f ca="1">CC27+CJ27+CQ27+CX27</f>
        <v>1</v>
      </c>
      <c r="AL27" s="25">
        <f ca="1">CD27+CK27+CR27+CY27</f>
        <v>1</v>
      </c>
      <c r="AP27" s="12">
        <v>18</v>
      </c>
      <c r="AQ27" s="14">
        <f t="shared" si="26"/>
        <v>36892.177083333292</v>
      </c>
      <c r="AR27" s="12" cm="1">
        <f t="array" aca="1" ref="AR27" ca="1">INDIRECT(ADDRESS(2+$AP27,1+MATCH($AB$9,INDIRECT($AB$16&amp;"!$B$2:$R$2"),0),1,1,$AB$16))</f>
        <v>0</v>
      </c>
      <c r="AS27" s="12" cm="1">
        <f t="array" aca="1" ref="AS27" ca="1">INDIRECT(ADDRESS(2+$AP27,1+MATCH($AB$9,INDIRECT($AB$17&amp;"!$B$2:$R$2"),0),1,1,$AB$17))</f>
        <v>0</v>
      </c>
      <c r="AT27" s="12" cm="1">
        <f t="array" aca="1" ref="AT27" ca="1">INDIRECT(ADDRESS(2+$AP27,1+MATCH($AB$9,INDIRECT($AB$18&amp;"!$B$2:$R$2"),0),1,1,$AB$18))</f>
        <v>0</v>
      </c>
      <c r="AX27" s="12">
        <v>18</v>
      </c>
      <c r="AY27" s="14">
        <f t="shared" si="27"/>
        <v>36892.177083333292</v>
      </c>
      <c r="AZ27" s="12" t="b">
        <f t="shared" ca="1" si="7"/>
        <v>1</v>
      </c>
      <c r="BA27" s="12" t="b">
        <f t="shared" ca="1" si="8"/>
        <v>1</v>
      </c>
      <c r="BB27" s="12" t="b">
        <f t="shared" ca="1" si="9"/>
        <v>1</v>
      </c>
      <c r="BE27" s="12">
        <v>18</v>
      </c>
      <c r="BF27" s="14">
        <f t="shared" si="28"/>
        <v>36892.177083333292</v>
      </c>
      <c r="BG27" s="12" t="str">
        <f t="shared" ca="1" si="10"/>
        <v/>
      </c>
      <c r="BH27" s="12" t="str">
        <f t="shared" ca="1" si="11"/>
        <v/>
      </c>
      <c r="BI27" s="12" t="str">
        <f t="shared" ca="1" si="12"/>
        <v/>
      </c>
      <c r="BL27" s="12">
        <v>18</v>
      </c>
      <c r="BM27" s="14">
        <f t="shared" si="29"/>
        <v>36892.177083333292</v>
      </c>
      <c r="BN27" s="12" t="str">
        <f t="shared" ca="1" si="13"/>
        <v/>
      </c>
      <c r="BO27" s="12" t="str">
        <f t="shared" ca="1" si="14"/>
        <v/>
      </c>
      <c r="BP27" s="12" t="str">
        <f t="shared" ca="1" si="15"/>
        <v/>
      </c>
      <c r="BS27" s="12">
        <v>18</v>
      </c>
      <c r="BT27" s="14">
        <f t="shared" si="30"/>
        <v>36892.177083333292</v>
      </c>
      <c r="BU27" s="12" t="str">
        <f t="shared" ca="1" si="16"/>
        <v/>
      </c>
      <c r="BV27" s="12" t="str">
        <f t="shared" ca="1" si="17"/>
        <v/>
      </c>
      <c r="BW27" s="12" t="str">
        <f t="shared" ca="1" si="18"/>
        <v/>
      </c>
      <c r="BZ27" s="12">
        <v>18</v>
      </c>
      <c r="CA27" s="14" t="s">
        <v>13</v>
      </c>
      <c r="CB27" s="12">
        <f ca="1">COUNTIF(AZ78:AZ81,TRUE)/4</f>
        <v>1</v>
      </c>
      <c r="CC27" s="12">
        <f t="shared" ref="CC27:CD27" ca="1" si="136">COUNTIF(BA78:BA81,TRUE)/4</f>
        <v>1</v>
      </c>
      <c r="CD27" s="12">
        <f t="shared" ca="1" si="136"/>
        <v>1</v>
      </c>
      <c r="CG27" s="12">
        <v>18</v>
      </c>
      <c r="CH27" s="14" t="s">
        <v>13</v>
      </c>
      <c r="CI27" s="12">
        <f ca="1">COUNTIF(BG78:BG81,TRUE)/4</f>
        <v>0</v>
      </c>
      <c r="CJ27" s="12">
        <f t="shared" ref="CJ27" ca="1" si="137">COUNTIF(BH78:BH81,TRUE)/4</f>
        <v>0</v>
      </c>
      <c r="CK27" s="12">
        <f t="shared" ref="CK27" ca="1" si="138">COUNTIF(BI78:BI81,TRUE)/4</f>
        <v>0</v>
      </c>
      <c r="CN27" s="12">
        <v>18</v>
      </c>
      <c r="CO27" s="14" t="s">
        <v>13</v>
      </c>
      <c r="CP27" s="12">
        <f ca="1">COUNTIF(BN78:BN81,TRUE)/4</f>
        <v>0</v>
      </c>
      <c r="CQ27" s="12">
        <f t="shared" ref="CQ27" ca="1" si="139">COUNTIF(BO78:BO81,TRUE)/4</f>
        <v>0</v>
      </c>
      <c r="CR27" s="12">
        <f t="shared" ref="CR27" ca="1" si="140">COUNTIF(BP78:BP81,TRUE)/4</f>
        <v>0</v>
      </c>
      <c r="CU27" s="12">
        <v>18</v>
      </c>
      <c r="CV27" s="14" t="s">
        <v>13</v>
      </c>
      <c r="CW27" s="12">
        <f ca="1">COUNTIF(BU78:BU81,TRUE)/4</f>
        <v>0</v>
      </c>
      <c r="CX27" s="12">
        <f t="shared" ref="CX27" ca="1" si="141">COUNTIF(BV78:BV81,TRUE)/4</f>
        <v>0</v>
      </c>
      <c r="CY27" s="12">
        <f t="shared" ref="CY27" ca="1" si="142">COUNTIF(BW78:BW81,TRUE)/4</f>
        <v>0</v>
      </c>
    </row>
    <row r="28" spans="4:103" ht="16.5" customHeight="1">
      <c r="Z28" s="10" t="s">
        <v>146</v>
      </c>
      <c r="AA28" s="10" t="s">
        <v>89</v>
      </c>
      <c r="AB28" s="10">
        <f>VLOOKUP($AB$9,$D$9:$V$24,18,FALSE)</f>
        <v>0</v>
      </c>
      <c r="AH28" s="25">
        <v>19</v>
      </c>
      <c r="AI28" s="27" t="s">
        <v>14</v>
      </c>
      <c r="AJ28" s="25">
        <f ca="1">CB28+CI28+CP28+CW28</f>
        <v>1</v>
      </c>
      <c r="AK28" s="25">
        <f ca="1">CC28+CJ28+CQ28+CX28</f>
        <v>1</v>
      </c>
      <c r="AL28" s="25">
        <f ca="1">CD28+CK28+CR28+CY28</f>
        <v>1</v>
      </c>
      <c r="AP28" s="12">
        <v>19</v>
      </c>
      <c r="AQ28" s="14">
        <f t="shared" si="26"/>
        <v>36892.187499999956</v>
      </c>
      <c r="AR28" s="12" cm="1">
        <f t="array" aca="1" ref="AR28" ca="1">INDIRECT(ADDRESS(2+$AP28,1+MATCH($AB$9,INDIRECT($AB$16&amp;"!$B$2:$R$2"),0),1,1,$AB$16))</f>
        <v>0</v>
      </c>
      <c r="AS28" s="12" cm="1">
        <f t="array" aca="1" ref="AS28" ca="1">INDIRECT(ADDRESS(2+$AP28,1+MATCH($AB$9,INDIRECT($AB$17&amp;"!$B$2:$R$2"),0),1,1,$AB$17))</f>
        <v>0</v>
      </c>
      <c r="AT28" s="12" cm="1">
        <f t="array" aca="1" ref="AT28" ca="1">INDIRECT(ADDRESS(2+$AP28,1+MATCH($AB$9,INDIRECT($AB$18&amp;"!$B$2:$R$2"),0),1,1,$AB$18))</f>
        <v>0</v>
      </c>
      <c r="AX28" s="12">
        <v>19</v>
      </c>
      <c r="AY28" s="14">
        <f t="shared" si="27"/>
        <v>36892.187499999956</v>
      </c>
      <c r="AZ28" s="12" t="b">
        <f t="shared" ca="1" si="7"/>
        <v>1</v>
      </c>
      <c r="BA28" s="12" t="b">
        <f t="shared" ca="1" si="8"/>
        <v>1</v>
      </c>
      <c r="BB28" s="12" t="b">
        <f t="shared" ca="1" si="9"/>
        <v>1</v>
      </c>
      <c r="BE28" s="12">
        <v>19</v>
      </c>
      <c r="BF28" s="14">
        <f t="shared" si="28"/>
        <v>36892.187499999956</v>
      </c>
      <c r="BG28" s="12" t="str">
        <f t="shared" ca="1" si="10"/>
        <v/>
      </c>
      <c r="BH28" s="12" t="str">
        <f t="shared" ca="1" si="11"/>
        <v/>
      </c>
      <c r="BI28" s="12" t="str">
        <f t="shared" ca="1" si="12"/>
        <v/>
      </c>
      <c r="BL28" s="12">
        <v>19</v>
      </c>
      <c r="BM28" s="14">
        <f t="shared" si="29"/>
        <v>36892.187499999956</v>
      </c>
      <c r="BN28" s="12" t="str">
        <f t="shared" ca="1" si="13"/>
        <v/>
      </c>
      <c r="BO28" s="12" t="str">
        <f t="shared" ca="1" si="14"/>
        <v/>
      </c>
      <c r="BP28" s="12" t="str">
        <f t="shared" ca="1" si="15"/>
        <v/>
      </c>
      <c r="BS28" s="12">
        <v>19</v>
      </c>
      <c r="BT28" s="14">
        <f t="shared" si="30"/>
        <v>36892.187499999956</v>
      </c>
      <c r="BU28" s="12" t="str">
        <f t="shared" ca="1" si="16"/>
        <v/>
      </c>
      <c r="BV28" s="12" t="str">
        <f t="shared" ca="1" si="17"/>
        <v/>
      </c>
      <c r="BW28" s="12" t="str">
        <f t="shared" ca="1" si="18"/>
        <v/>
      </c>
      <c r="BZ28" s="12">
        <v>19</v>
      </c>
      <c r="CA28" s="14" t="s">
        <v>14</v>
      </c>
      <c r="CB28" s="12">
        <f ca="1">COUNTIF(AZ82:AZ85,TRUE)/4</f>
        <v>1</v>
      </c>
      <c r="CC28" s="12">
        <f t="shared" ref="CC28:CD28" ca="1" si="143">COUNTIF(BA82:BA85,TRUE)/4</f>
        <v>1</v>
      </c>
      <c r="CD28" s="12">
        <f t="shared" ca="1" si="143"/>
        <v>1</v>
      </c>
      <c r="CG28" s="12">
        <v>19</v>
      </c>
      <c r="CH28" s="14" t="s">
        <v>14</v>
      </c>
      <c r="CI28" s="12">
        <f ca="1">COUNTIF(BG82:BG85,TRUE)/4</f>
        <v>0</v>
      </c>
      <c r="CJ28" s="12">
        <f t="shared" ref="CJ28" ca="1" si="144">COUNTIF(BH82:BH85,TRUE)/4</f>
        <v>0</v>
      </c>
      <c r="CK28" s="12">
        <f t="shared" ref="CK28" ca="1" si="145">COUNTIF(BI82:BI85,TRUE)/4</f>
        <v>0</v>
      </c>
      <c r="CN28" s="12">
        <v>19</v>
      </c>
      <c r="CO28" s="14" t="s">
        <v>14</v>
      </c>
      <c r="CP28" s="12">
        <f ca="1">COUNTIF(BN82:BN85,TRUE)/4</f>
        <v>0</v>
      </c>
      <c r="CQ28" s="12">
        <f t="shared" ref="CQ28" ca="1" si="146">COUNTIF(BO82:BO85,TRUE)/4</f>
        <v>0</v>
      </c>
      <c r="CR28" s="12">
        <f t="shared" ref="CR28" ca="1" si="147">COUNTIF(BP82:BP85,TRUE)/4</f>
        <v>0</v>
      </c>
      <c r="CU28" s="12">
        <v>19</v>
      </c>
      <c r="CV28" s="14" t="s">
        <v>14</v>
      </c>
      <c r="CW28" s="12">
        <f ca="1">COUNTIF(BU82:BU85,TRUE)/4</f>
        <v>0</v>
      </c>
      <c r="CX28" s="12">
        <f t="shared" ref="CX28" ca="1" si="148">COUNTIF(BV82:BV85,TRUE)/4</f>
        <v>0</v>
      </c>
      <c r="CY28" s="12">
        <f t="shared" ref="CY28" ca="1" si="149">COUNTIF(BW82:BW85,TRUE)/4</f>
        <v>0</v>
      </c>
    </row>
    <row r="29" spans="4:103" ht="16.5" customHeight="1">
      <c r="Z29" s="10" t="s">
        <v>147</v>
      </c>
      <c r="AA29" s="10" t="s">
        <v>89</v>
      </c>
      <c r="AB29" s="10">
        <f>VLOOKUP($AB$9,$D$9:$V$24,19,FALSE)</f>
        <v>0</v>
      </c>
      <c r="AH29" s="25">
        <v>20</v>
      </c>
      <c r="AI29" s="27" t="s">
        <v>15</v>
      </c>
      <c r="AJ29" s="25">
        <f ca="1">CB29+CI29+CP29+CW29</f>
        <v>1</v>
      </c>
      <c r="AK29" s="25">
        <f ca="1">CC29+CJ29+CQ29+CX29</f>
        <v>1</v>
      </c>
      <c r="AL29" s="25">
        <f ca="1">CD29+CK29+CR29+CY29</f>
        <v>1</v>
      </c>
      <c r="AP29" s="12">
        <v>20</v>
      </c>
      <c r="AQ29" s="14">
        <f t="shared" si="26"/>
        <v>36892.197916666621</v>
      </c>
      <c r="AR29" s="12" cm="1">
        <f t="array" aca="1" ref="AR29" ca="1">INDIRECT(ADDRESS(2+$AP29,1+MATCH($AB$9,INDIRECT($AB$16&amp;"!$B$2:$R$2"),0),1,1,$AB$16))</f>
        <v>0</v>
      </c>
      <c r="AS29" s="12" cm="1">
        <f t="array" aca="1" ref="AS29" ca="1">INDIRECT(ADDRESS(2+$AP29,1+MATCH($AB$9,INDIRECT($AB$17&amp;"!$B$2:$R$2"),0),1,1,$AB$17))</f>
        <v>0</v>
      </c>
      <c r="AT29" s="12" cm="1">
        <f t="array" aca="1" ref="AT29" ca="1">INDIRECT(ADDRESS(2+$AP29,1+MATCH($AB$9,INDIRECT($AB$18&amp;"!$B$2:$R$2"),0),1,1,$AB$18))</f>
        <v>0</v>
      </c>
      <c r="AX29" s="12">
        <v>20</v>
      </c>
      <c r="AY29" s="14">
        <f t="shared" si="27"/>
        <v>36892.197916666621</v>
      </c>
      <c r="AZ29" s="12" t="b">
        <f t="shared" ca="1" si="7"/>
        <v>1</v>
      </c>
      <c r="BA29" s="12" t="b">
        <f t="shared" ca="1" si="8"/>
        <v>1</v>
      </c>
      <c r="BB29" s="12" t="b">
        <f t="shared" ca="1" si="9"/>
        <v>1</v>
      </c>
      <c r="BE29" s="12">
        <v>20</v>
      </c>
      <c r="BF29" s="14">
        <f t="shared" si="28"/>
        <v>36892.197916666621</v>
      </c>
      <c r="BG29" s="12" t="str">
        <f t="shared" ca="1" si="10"/>
        <v/>
      </c>
      <c r="BH29" s="12" t="str">
        <f t="shared" ca="1" si="11"/>
        <v/>
      </c>
      <c r="BI29" s="12" t="str">
        <f t="shared" ca="1" si="12"/>
        <v/>
      </c>
      <c r="BL29" s="12">
        <v>20</v>
      </c>
      <c r="BM29" s="14">
        <f t="shared" si="29"/>
        <v>36892.197916666621</v>
      </c>
      <c r="BN29" s="12" t="str">
        <f t="shared" ca="1" si="13"/>
        <v/>
      </c>
      <c r="BO29" s="12" t="str">
        <f t="shared" ca="1" si="14"/>
        <v/>
      </c>
      <c r="BP29" s="12" t="str">
        <f t="shared" ca="1" si="15"/>
        <v/>
      </c>
      <c r="BS29" s="12">
        <v>20</v>
      </c>
      <c r="BT29" s="14">
        <f t="shared" si="30"/>
        <v>36892.197916666621</v>
      </c>
      <c r="BU29" s="12" t="str">
        <f t="shared" ca="1" si="16"/>
        <v/>
      </c>
      <c r="BV29" s="12" t="str">
        <f t="shared" ca="1" si="17"/>
        <v/>
      </c>
      <c r="BW29" s="12" t="str">
        <f t="shared" ca="1" si="18"/>
        <v/>
      </c>
      <c r="BZ29" s="12">
        <v>20</v>
      </c>
      <c r="CA29" s="14" t="s">
        <v>15</v>
      </c>
      <c r="CB29" s="12">
        <f ca="1">COUNTIF(AZ86:AZ89,TRUE)/4</f>
        <v>1</v>
      </c>
      <c r="CC29" s="12">
        <f t="shared" ref="CC29:CD29" ca="1" si="150">COUNTIF(BA86:BA89,TRUE)/4</f>
        <v>1</v>
      </c>
      <c r="CD29" s="12">
        <f t="shared" ca="1" si="150"/>
        <v>1</v>
      </c>
      <c r="CG29" s="12">
        <v>20</v>
      </c>
      <c r="CH29" s="14" t="s">
        <v>15</v>
      </c>
      <c r="CI29" s="12">
        <f ca="1">COUNTIF(BG86:BG89,TRUE)/4</f>
        <v>0</v>
      </c>
      <c r="CJ29" s="12">
        <f t="shared" ref="CJ29" ca="1" si="151">COUNTIF(BH86:BH89,TRUE)/4</f>
        <v>0</v>
      </c>
      <c r="CK29" s="12">
        <f t="shared" ref="CK29" ca="1" si="152">COUNTIF(BI86:BI89,TRUE)/4</f>
        <v>0</v>
      </c>
      <c r="CN29" s="12">
        <v>20</v>
      </c>
      <c r="CO29" s="14" t="s">
        <v>15</v>
      </c>
      <c r="CP29" s="12">
        <f ca="1">COUNTIF(BN86:BN89,TRUE)/4</f>
        <v>0</v>
      </c>
      <c r="CQ29" s="12">
        <f t="shared" ref="CQ29" ca="1" si="153">COUNTIF(BO86:BO89,TRUE)/4</f>
        <v>0</v>
      </c>
      <c r="CR29" s="12">
        <f t="shared" ref="CR29" ca="1" si="154">COUNTIF(BP86:BP89,TRUE)/4</f>
        <v>0</v>
      </c>
      <c r="CU29" s="12">
        <v>20</v>
      </c>
      <c r="CV29" s="14" t="s">
        <v>15</v>
      </c>
      <c r="CW29" s="12">
        <f ca="1">COUNTIF(BU86:BU89,TRUE)/4</f>
        <v>0</v>
      </c>
      <c r="CX29" s="12">
        <f t="shared" ref="CX29" ca="1" si="155">COUNTIF(BV86:BV89,TRUE)/4</f>
        <v>0</v>
      </c>
      <c r="CY29" s="12">
        <f t="shared" ref="CY29" ca="1" si="156">COUNTIF(BW86:BW89,TRUE)/4</f>
        <v>0</v>
      </c>
    </row>
    <row r="30" spans="4:103" ht="16.5" customHeight="1">
      <c r="AH30" s="25">
        <v>21</v>
      </c>
      <c r="AI30" s="27" t="s">
        <v>16</v>
      </c>
      <c r="AJ30" s="25">
        <f ca="1">CB30+CI30+CP30+CW30</f>
        <v>1</v>
      </c>
      <c r="AK30" s="25">
        <f ca="1">CC30+CJ30+CQ30+CX30</f>
        <v>1</v>
      </c>
      <c r="AL30" s="25">
        <f ca="1">CD30+CK30+CR30+CY30</f>
        <v>1</v>
      </c>
      <c r="AP30" s="12">
        <v>21</v>
      </c>
      <c r="AQ30" s="14">
        <f t="shared" si="26"/>
        <v>36892.208333333285</v>
      </c>
      <c r="AR30" s="12" cm="1">
        <f t="array" aca="1" ref="AR30" ca="1">INDIRECT(ADDRESS(2+$AP30,1+MATCH($AB$9,INDIRECT($AB$16&amp;"!$B$2:$R$2"),0),1,1,$AB$16))</f>
        <v>0</v>
      </c>
      <c r="AS30" s="12" cm="1">
        <f t="array" aca="1" ref="AS30" ca="1">INDIRECT(ADDRESS(2+$AP30,1+MATCH($AB$9,INDIRECT($AB$17&amp;"!$B$2:$R$2"),0),1,1,$AB$17))</f>
        <v>0</v>
      </c>
      <c r="AT30" s="12" cm="1">
        <f t="array" aca="1" ref="AT30" ca="1">INDIRECT(ADDRESS(2+$AP30,1+MATCH($AB$9,INDIRECT($AB$18&amp;"!$B$2:$R$2"),0),1,1,$AB$18))</f>
        <v>0</v>
      </c>
      <c r="AX30" s="12">
        <v>21</v>
      </c>
      <c r="AY30" s="14">
        <f t="shared" si="27"/>
        <v>36892.208333333285</v>
      </c>
      <c r="AZ30" s="12" t="b">
        <f t="shared" ca="1" si="7"/>
        <v>1</v>
      </c>
      <c r="BA30" s="12" t="b">
        <f t="shared" ca="1" si="8"/>
        <v>1</v>
      </c>
      <c r="BB30" s="12" t="b">
        <f t="shared" ca="1" si="9"/>
        <v>1</v>
      </c>
      <c r="BE30" s="12">
        <v>21</v>
      </c>
      <c r="BF30" s="14">
        <f t="shared" si="28"/>
        <v>36892.208333333285</v>
      </c>
      <c r="BG30" s="12" t="str">
        <f t="shared" ca="1" si="10"/>
        <v/>
      </c>
      <c r="BH30" s="12" t="str">
        <f t="shared" ca="1" si="11"/>
        <v/>
      </c>
      <c r="BI30" s="12" t="str">
        <f t="shared" ca="1" si="12"/>
        <v/>
      </c>
      <c r="BL30" s="12">
        <v>21</v>
      </c>
      <c r="BM30" s="14">
        <f t="shared" si="29"/>
        <v>36892.208333333285</v>
      </c>
      <c r="BN30" s="12" t="str">
        <f t="shared" ca="1" si="13"/>
        <v/>
      </c>
      <c r="BO30" s="12" t="str">
        <f t="shared" ca="1" si="14"/>
        <v/>
      </c>
      <c r="BP30" s="12" t="str">
        <f t="shared" ca="1" si="15"/>
        <v/>
      </c>
      <c r="BS30" s="12">
        <v>21</v>
      </c>
      <c r="BT30" s="14">
        <f t="shared" si="30"/>
        <v>36892.208333333285</v>
      </c>
      <c r="BU30" s="12" t="str">
        <f t="shared" ca="1" si="16"/>
        <v/>
      </c>
      <c r="BV30" s="12" t="str">
        <f t="shared" ca="1" si="17"/>
        <v/>
      </c>
      <c r="BW30" s="12" t="str">
        <f t="shared" ca="1" si="18"/>
        <v/>
      </c>
      <c r="BZ30" s="12">
        <v>21</v>
      </c>
      <c r="CA30" s="14" t="s">
        <v>16</v>
      </c>
      <c r="CB30" s="12">
        <f ca="1">COUNTIF(AZ90:AZ93,TRUE)/4</f>
        <v>1</v>
      </c>
      <c r="CC30" s="12">
        <f t="shared" ref="CC30:CD30" ca="1" si="157">COUNTIF(BA90:BA93,TRUE)/4</f>
        <v>1</v>
      </c>
      <c r="CD30" s="12">
        <f t="shared" ca="1" si="157"/>
        <v>1</v>
      </c>
      <c r="CG30" s="12">
        <v>21</v>
      </c>
      <c r="CH30" s="14" t="s">
        <v>16</v>
      </c>
      <c r="CI30" s="12">
        <f ca="1">COUNTIF(BG90:BG93,TRUE)/4</f>
        <v>0</v>
      </c>
      <c r="CJ30" s="12">
        <f t="shared" ref="CJ30" ca="1" si="158">COUNTIF(BH90:BH93,TRUE)/4</f>
        <v>0</v>
      </c>
      <c r="CK30" s="12">
        <f t="shared" ref="CK30" ca="1" si="159">COUNTIF(BI90:BI93,TRUE)/4</f>
        <v>0</v>
      </c>
      <c r="CN30" s="12">
        <v>21</v>
      </c>
      <c r="CO30" s="14" t="s">
        <v>16</v>
      </c>
      <c r="CP30" s="12">
        <f ca="1">COUNTIF(BN90:BN93,TRUE)/4</f>
        <v>0</v>
      </c>
      <c r="CQ30" s="12">
        <f t="shared" ref="CQ30" ca="1" si="160">COUNTIF(BO90:BO93,TRUE)/4</f>
        <v>0</v>
      </c>
      <c r="CR30" s="12">
        <f t="shared" ref="CR30" ca="1" si="161">COUNTIF(BP90:BP93,TRUE)/4</f>
        <v>0</v>
      </c>
      <c r="CU30" s="12">
        <v>21</v>
      </c>
      <c r="CV30" s="14" t="s">
        <v>16</v>
      </c>
      <c r="CW30" s="12">
        <f ca="1">COUNTIF(BU90:BU93,TRUE)/4</f>
        <v>0</v>
      </c>
      <c r="CX30" s="12">
        <f t="shared" ref="CX30" ca="1" si="162">COUNTIF(BV90:BV93,TRUE)/4</f>
        <v>0</v>
      </c>
      <c r="CY30" s="12">
        <f t="shared" ref="CY30" ca="1" si="163">COUNTIF(BW90:BW93,TRUE)/4</f>
        <v>0</v>
      </c>
    </row>
    <row r="31" spans="4:103" ht="16.5" customHeight="1">
      <c r="AH31" s="25">
        <v>22</v>
      </c>
      <c r="AI31" s="27" t="s">
        <v>17</v>
      </c>
      <c r="AJ31" s="25">
        <f ca="1">CB31+CI31+CP31+CW31</f>
        <v>1</v>
      </c>
      <c r="AK31" s="25">
        <f ca="1">CC31+CJ31+CQ31+CX31</f>
        <v>1</v>
      </c>
      <c r="AL31" s="25">
        <f ca="1">CD31+CK31+CR31+CY31</f>
        <v>1</v>
      </c>
      <c r="AP31" s="12">
        <v>22</v>
      </c>
      <c r="AQ31" s="14">
        <f t="shared" si="26"/>
        <v>36892.218749999949</v>
      </c>
      <c r="AR31" s="12" cm="1">
        <f t="array" aca="1" ref="AR31" ca="1">INDIRECT(ADDRESS(2+$AP31,1+MATCH($AB$9,INDIRECT($AB$16&amp;"!$B$2:$R$2"),0),1,1,$AB$16))</f>
        <v>0</v>
      </c>
      <c r="AS31" s="12" cm="1">
        <f t="array" aca="1" ref="AS31" ca="1">INDIRECT(ADDRESS(2+$AP31,1+MATCH($AB$9,INDIRECT($AB$17&amp;"!$B$2:$R$2"),0),1,1,$AB$17))</f>
        <v>0</v>
      </c>
      <c r="AT31" s="12" cm="1">
        <f t="array" aca="1" ref="AT31" ca="1">INDIRECT(ADDRESS(2+$AP31,1+MATCH($AB$9,INDIRECT($AB$18&amp;"!$B$2:$R$2"),0),1,1,$AB$18))</f>
        <v>0</v>
      </c>
      <c r="AX31" s="12">
        <v>22</v>
      </c>
      <c r="AY31" s="14">
        <f t="shared" si="27"/>
        <v>36892.218749999949</v>
      </c>
      <c r="AZ31" s="12" t="b">
        <f t="shared" ca="1" si="7"/>
        <v>1</v>
      </c>
      <c r="BA31" s="12" t="b">
        <f t="shared" ca="1" si="8"/>
        <v>1</v>
      </c>
      <c r="BB31" s="12" t="b">
        <f t="shared" ca="1" si="9"/>
        <v>1</v>
      </c>
      <c r="BE31" s="12">
        <v>22</v>
      </c>
      <c r="BF31" s="14">
        <f t="shared" si="28"/>
        <v>36892.218749999949</v>
      </c>
      <c r="BG31" s="12" t="str">
        <f t="shared" ca="1" si="10"/>
        <v/>
      </c>
      <c r="BH31" s="12" t="str">
        <f t="shared" ca="1" si="11"/>
        <v/>
      </c>
      <c r="BI31" s="12" t="str">
        <f t="shared" ca="1" si="12"/>
        <v/>
      </c>
      <c r="BL31" s="12">
        <v>22</v>
      </c>
      <c r="BM31" s="14">
        <f t="shared" si="29"/>
        <v>36892.218749999949</v>
      </c>
      <c r="BN31" s="12" t="str">
        <f t="shared" ca="1" si="13"/>
        <v/>
      </c>
      <c r="BO31" s="12" t="str">
        <f t="shared" ca="1" si="14"/>
        <v/>
      </c>
      <c r="BP31" s="12" t="str">
        <f t="shared" ca="1" si="15"/>
        <v/>
      </c>
      <c r="BS31" s="12">
        <v>22</v>
      </c>
      <c r="BT31" s="14">
        <f t="shared" si="30"/>
        <v>36892.218749999949</v>
      </c>
      <c r="BU31" s="12" t="str">
        <f t="shared" ca="1" si="16"/>
        <v/>
      </c>
      <c r="BV31" s="12" t="str">
        <f t="shared" ca="1" si="17"/>
        <v/>
      </c>
      <c r="BW31" s="12" t="str">
        <f t="shared" ca="1" si="18"/>
        <v/>
      </c>
      <c r="BZ31" s="12">
        <v>22</v>
      </c>
      <c r="CA31" s="14" t="s">
        <v>17</v>
      </c>
      <c r="CB31" s="12">
        <f ca="1">COUNTIF(AZ94:AZ97,TRUE)/4</f>
        <v>1</v>
      </c>
      <c r="CC31" s="12">
        <f t="shared" ref="CC31:CD31" ca="1" si="164">COUNTIF(BA94:BA97,TRUE)/4</f>
        <v>1</v>
      </c>
      <c r="CD31" s="12">
        <f t="shared" ca="1" si="164"/>
        <v>1</v>
      </c>
      <c r="CG31" s="12">
        <v>22</v>
      </c>
      <c r="CH31" s="14" t="s">
        <v>17</v>
      </c>
      <c r="CI31" s="12">
        <f ca="1">COUNTIF(BG94:BG97,TRUE)/4</f>
        <v>0</v>
      </c>
      <c r="CJ31" s="12">
        <f t="shared" ref="CJ31" ca="1" si="165">COUNTIF(BH94:BH97,TRUE)/4</f>
        <v>0</v>
      </c>
      <c r="CK31" s="12">
        <f t="shared" ref="CK31" ca="1" si="166">COUNTIF(BI94:BI97,TRUE)/4</f>
        <v>0</v>
      </c>
      <c r="CN31" s="12">
        <v>22</v>
      </c>
      <c r="CO31" s="14" t="s">
        <v>17</v>
      </c>
      <c r="CP31" s="12">
        <f ca="1">COUNTIF(BN94:BN97,TRUE)/4</f>
        <v>0</v>
      </c>
      <c r="CQ31" s="12">
        <f t="shared" ref="CQ31" ca="1" si="167">COUNTIF(BO94:BO97,TRUE)/4</f>
        <v>0</v>
      </c>
      <c r="CR31" s="12">
        <f t="shared" ref="CR31" ca="1" si="168">COUNTIF(BP94:BP97,TRUE)/4</f>
        <v>0</v>
      </c>
      <c r="CU31" s="12">
        <v>22</v>
      </c>
      <c r="CV31" s="14" t="s">
        <v>17</v>
      </c>
      <c r="CW31" s="12">
        <f ca="1">COUNTIF(BU94:BU97,TRUE)/4</f>
        <v>0</v>
      </c>
      <c r="CX31" s="12">
        <f t="shared" ref="CX31" ca="1" si="169">COUNTIF(BV94:BV97,TRUE)/4</f>
        <v>0</v>
      </c>
      <c r="CY31" s="12">
        <f t="shared" ref="CY31" ca="1" si="170">COUNTIF(BW94:BW97,TRUE)/4</f>
        <v>0</v>
      </c>
    </row>
    <row r="32" spans="4:103" ht="16.5" customHeight="1">
      <c r="AH32" s="25">
        <v>23</v>
      </c>
      <c r="AI32" s="27" t="s">
        <v>18</v>
      </c>
      <c r="AJ32" s="25">
        <f ca="1">CB32+CI32+CP32+CW32</f>
        <v>1</v>
      </c>
      <c r="AK32" s="25">
        <f ca="1">CC32+CJ32+CQ32+CX32</f>
        <v>1</v>
      </c>
      <c r="AL32" s="25">
        <f ca="1">CD32+CK32+CR32+CY32</f>
        <v>1</v>
      </c>
      <c r="AP32" s="12">
        <v>23</v>
      </c>
      <c r="AQ32" s="14">
        <f t="shared" si="26"/>
        <v>36892.229166666613</v>
      </c>
      <c r="AR32" s="12" cm="1">
        <f t="array" aca="1" ref="AR32" ca="1">INDIRECT(ADDRESS(2+$AP32,1+MATCH($AB$9,INDIRECT($AB$16&amp;"!$B$2:$R$2"),0),1,1,$AB$16))</f>
        <v>0</v>
      </c>
      <c r="AS32" s="12" cm="1">
        <f t="array" aca="1" ref="AS32" ca="1">INDIRECT(ADDRESS(2+$AP32,1+MATCH($AB$9,INDIRECT($AB$17&amp;"!$B$2:$R$2"),0),1,1,$AB$17))</f>
        <v>0</v>
      </c>
      <c r="AT32" s="12" cm="1">
        <f t="array" aca="1" ref="AT32" ca="1">INDIRECT(ADDRESS(2+$AP32,1+MATCH($AB$9,INDIRECT($AB$18&amp;"!$B$2:$R$2"),0),1,1,$AB$18))</f>
        <v>0</v>
      </c>
      <c r="AX32" s="12">
        <v>23</v>
      </c>
      <c r="AY32" s="14">
        <f t="shared" si="27"/>
        <v>36892.229166666613</v>
      </c>
      <c r="AZ32" s="12" t="b">
        <f t="shared" ca="1" si="7"/>
        <v>1</v>
      </c>
      <c r="BA32" s="12" t="b">
        <f t="shared" ca="1" si="8"/>
        <v>1</v>
      </c>
      <c r="BB32" s="12" t="b">
        <f t="shared" ca="1" si="9"/>
        <v>1</v>
      </c>
      <c r="BE32" s="12">
        <v>23</v>
      </c>
      <c r="BF32" s="14">
        <f t="shared" si="28"/>
        <v>36892.229166666613</v>
      </c>
      <c r="BG32" s="12" t="str">
        <f t="shared" ca="1" si="10"/>
        <v/>
      </c>
      <c r="BH32" s="12" t="str">
        <f t="shared" ca="1" si="11"/>
        <v/>
      </c>
      <c r="BI32" s="12" t="str">
        <f t="shared" ca="1" si="12"/>
        <v/>
      </c>
      <c r="BL32" s="12">
        <v>23</v>
      </c>
      <c r="BM32" s="14">
        <f t="shared" si="29"/>
        <v>36892.229166666613</v>
      </c>
      <c r="BN32" s="12" t="str">
        <f t="shared" ca="1" si="13"/>
        <v/>
      </c>
      <c r="BO32" s="12" t="str">
        <f t="shared" ca="1" si="14"/>
        <v/>
      </c>
      <c r="BP32" s="12" t="str">
        <f t="shared" ca="1" si="15"/>
        <v/>
      </c>
      <c r="BS32" s="12">
        <v>23</v>
      </c>
      <c r="BT32" s="14">
        <f t="shared" si="30"/>
        <v>36892.229166666613</v>
      </c>
      <c r="BU32" s="12" t="str">
        <f t="shared" ca="1" si="16"/>
        <v/>
      </c>
      <c r="BV32" s="12" t="str">
        <f t="shared" ca="1" si="17"/>
        <v/>
      </c>
      <c r="BW32" s="12" t="str">
        <f t="shared" ca="1" si="18"/>
        <v/>
      </c>
      <c r="BZ32" s="12">
        <v>23</v>
      </c>
      <c r="CA32" s="14" t="s">
        <v>18</v>
      </c>
      <c r="CB32" s="12">
        <f ca="1">COUNTIF(AZ98:AZ101,TRUE)/4</f>
        <v>1</v>
      </c>
      <c r="CC32" s="12">
        <f t="shared" ref="CC32:CD32" ca="1" si="171">COUNTIF(BA98:BA101,TRUE)/4</f>
        <v>1</v>
      </c>
      <c r="CD32" s="12">
        <f t="shared" ca="1" si="171"/>
        <v>1</v>
      </c>
      <c r="CG32" s="12">
        <v>23</v>
      </c>
      <c r="CH32" s="14" t="s">
        <v>18</v>
      </c>
      <c r="CI32" s="12">
        <f ca="1">COUNTIF(BG98:BG101,TRUE)/4</f>
        <v>0</v>
      </c>
      <c r="CJ32" s="12">
        <f t="shared" ref="CJ32" ca="1" si="172">COUNTIF(BH98:BH101,TRUE)/4</f>
        <v>0</v>
      </c>
      <c r="CK32" s="12">
        <f t="shared" ref="CK32" ca="1" si="173">COUNTIF(BI98:BI101,TRUE)/4</f>
        <v>0</v>
      </c>
      <c r="CN32" s="12">
        <v>23</v>
      </c>
      <c r="CO32" s="14" t="s">
        <v>18</v>
      </c>
      <c r="CP32" s="12">
        <f ca="1">COUNTIF(BN98:BN101,TRUE)/4</f>
        <v>0</v>
      </c>
      <c r="CQ32" s="12">
        <f t="shared" ref="CQ32" ca="1" si="174">COUNTIF(BO98:BO101,TRUE)/4</f>
        <v>0</v>
      </c>
      <c r="CR32" s="12">
        <f t="shared" ref="CR32" ca="1" si="175">COUNTIF(BP98:BP101,TRUE)/4</f>
        <v>0</v>
      </c>
      <c r="CU32" s="12">
        <v>23</v>
      </c>
      <c r="CV32" s="14" t="s">
        <v>18</v>
      </c>
      <c r="CW32" s="12">
        <f ca="1">COUNTIF(BU98:BU101,TRUE)/4</f>
        <v>0</v>
      </c>
      <c r="CX32" s="12">
        <f t="shared" ref="CX32" ca="1" si="176">COUNTIF(BV98:BV101,TRUE)/4</f>
        <v>0</v>
      </c>
      <c r="CY32" s="12">
        <f t="shared" ref="CY32" ca="1" si="177">COUNTIF(BW98:BW101,TRUE)/4</f>
        <v>0</v>
      </c>
    </row>
    <row r="33" spans="34:103" ht="16.5" customHeight="1">
      <c r="AH33" s="25">
        <v>24</v>
      </c>
      <c r="AI33" s="27" t="s">
        <v>127</v>
      </c>
      <c r="AJ33" s="25">
        <f ca="1">CB33+CI33+CP33+CW33</f>
        <v>1</v>
      </c>
      <c r="AK33" s="25">
        <f ca="1">CC33+CJ33+CQ33+CX33</f>
        <v>1</v>
      </c>
      <c r="AL33" s="25">
        <f ca="1">CD33+CK33+CR33+CY33</f>
        <v>1</v>
      </c>
      <c r="AP33" s="12">
        <v>24</v>
      </c>
      <c r="AQ33" s="14">
        <f t="shared" si="26"/>
        <v>36892.239583333278</v>
      </c>
      <c r="AR33" s="12" cm="1">
        <f t="array" aca="1" ref="AR33" ca="1">INDIRECT(ADDRESS(2+$AP33,1+MATCH($AB$9,INDIRECT($AB$16&amp;"!$B$2:$R$2"),0),1,1,$AB$16))</f>
        <v>0</v>
      </c>
      <c r="AS33" s="12" cm="1">
        <f t="array" aca="1" ref="AS33" ca="1">INDIRECT(ADDRESS(2+$AP33,1+MATCH($AB$9,INDIRECT($AB$17&amp;"!$B$2:$R$2"),0),1,1,$AB$17))</f>
        <v>0</v>
      </c>
      <c r="AT33" s="12" cm="1">
        <f t="array" aca="1" ref="AT33" ca="1">INDIRECT(ADDRESS(2+$AP33,1+MATCH($AB$9,INDIRECT($AB$18&amp;"!$B$2:$R$2"),0),1,1,$AB$18))</f>
        <v>0</v>
      </c>
      <c r="AX33" s="12">
        <v>24</v>
      </c>
      <c r="AY33" s="14">
        <f t="shared" si="27"/>
        <v>36892.239583333278</v>
      </c>
      <c r="AZ33" s="12" t="b">
        <f t="shared" ca="1" si="7"/>
        <v>1</v>
      </c>
      <c r="BA33" s="12" t="b">
        <f t="shared" ca="1" si="8"/>
        <v>1</v>
      </c>
      <c r="BB33" s="12" t="b">
        <f t="shared" ca="1" si="9"/>
        <v>1</v>
      </c>
      <c r="BE33" s="12">
        <v>24</v>
      </c>
      <c r="BF33" s="14">
        <f t="shared" si="28"/>
        <v>36892.239583333278</v>
      </c>
      <c r="BG33" s="12" t="str">
        <f t="shared" ca="1" si="10"/>
        <v/>
      </c>
      <c r="BH33" s="12" t="str">
        <f t="shared" ca="1" si="11"/>
        <v/>
      </c>
      <c r="BI33" s="12" t="str">
        <f t="shared" ca="1" si="12"/>
        <v/>
      </c>
      <c r="BL33" s="12">
        <v>24</v>
      </c>
      <c r="BM33" s="14">
        <f t="shared" si="29"/>
        <v>36892.239583333278</v>
      </c>
      <c r="BN33" s="12" t="str">
        <f t="shared" ca="1" si="13"/>
        <v/>
      </c>
      <c r="BO33" s="12" t="str">
        <f t="shared" ca="1" si="14"/>
        <v/>
      </c>
      <c r="BP33" s="12" t="str">
        <f t="shared" ca="1" si="15"/>
        <v/>
      </c>
      <c r="BS33" s="12">
        <v>24</v>
      </c>
      <c r="BT33" s="14">
        <f t="shared" si="30"/>
        <v>36892.239583333278</v>
      </c>
      <c r="BU33" s="12" t="str">
        <f t="shared" ca="1" si="16"/>
        <v/>
      </c>
      <c r="BV33" s="12" t="str">
        <f t="shared" ca="1" si="17"/>
        <v/>
      </c>
      <c r="BW33" s="12" t="str">
        <f t="shared" ca="1" si="18"/>
        <v/>
      </c>
      <c r="BZ33" s="12">
        <v>24</v>
      </c>
      <c r="CA33" s="14" t="s">
        <v>127</v>
      </c>
      <c r="CB33" s="12">
        <f ca="1">COUNTIF(AZ102:AZ105,TRUE)/4</f>
        <v>1</v>
      </c>
      <c r="CC33" s="12">
        <f t="shared" ref="CC33:CD33" ca="1" si="178">COUNTIF(BA102:BA105,TRUE)/4</f>
        <v>1</v>
      </c>
      <c r="CD33" s="12">
        <f t="shared" ca="1" si="178"/>
        <v>1</v>
      </c>
      <c r="CG33" s="12">
        <v>24</v>
      </c>
      <c r="CH33" s="14" t="s">
        <v>127</v>
      </c>
      <c r="CI33" s="12">
        <f ca="1">COUNTIF(BG102:BG105,TRUE)/4</f>
        <v>0</v>
      </c>
      <c r="CJ33" s="12">
        <f t="shared" ref="CJ33" ca="1" si="179">COUNTIF(BH102:BH105,TRUE)/4</f>
        <v>0</v>
      </c>
      <c r="CK33" s="12">
        <f t="shared" ref="CK33" ca="1" si="180">COUNTIF(BI102:BI105,TRUE)/4</f>
        <v>0</v>
      </c>
      <c r="CN33" s="12">
        <v>24</v>
      </c>
      <c r="CO33" s="14" t="s">
        <v>127</v>
      </c>
      <c r="CP33" s="12">
        <f ca="1">COUNTIF(BN102:BN105,TRUE)/4</f>
        <v>0</v>
      </c>
      <c r="CQ33" s="12">
        <f t="shared" ref="CQ33" ca="1" si="181">COUNTIF(BO102:BO105,TRUE)/4</f>
        <v>0</v>
      </c>
      <c r="CR33" s="12">
        <f t="shared" ref="CR33" ca="1" si="182">COUNTIF(BP102:BP105,TRUE)/4</f>
        <v>0</v>
      </c>
      <c r="CU33" s="12">
        <v>24</v>
      </c>
      <c r="CV33" s="14" t="s">
        <v>127</v>
      </c>
      <c r="CW33" s="12">
        <f ca="1">COUNTIF(BU102:BU105,TRUE)/4</f>
        <v>0</v>
      </c>
      <c r="CX33" s="12">
        <f t="shared" ref="CX33" ca="1" si="183">COUNTIF(BV102:BV105,TRUE)/4</f>
        <v>0</v>
      </c>
      <c r="CY33" s="12">
        <f t="shared" ref="CY33" ca="1" si="184">COUNTIF(BW102:BW105,TRUE)/4</f>
        <v>0</v>
      </c>
    </row>
    <row r="34" spans="34:103" ht="16.5" customHeight="1">
      <c r="AI34" s="15"/>
      <c r="AP34" s="12">
        <v>25</v>
      </c>
      <c r="AQ34" s="14">
        <f t="shared" si="26"/>
        <v>36892.249999999942</v>
      </c>
      <c r="AR34" s="12" cm="1">
        <f t="array" aca="1" ref="AR34" ca="1">INDIRECT(ADDRESS(2+$AP34,1+MATCH($AB$9,INDIRECT($AB$16&amp;"!$B$2:$R$2"),0),1,1,$AB$16))</f>
        <v>0</v>
      </c>
      <c r="AS34" s="12" cm="1">
        <f t="array" aca="1" ref="AS34" ca="1">INDIRECT(ADDRESS(2+$AP34,1+MATCH($AB$9,INDIRECT($AB$17&amp;"!$B$2:$R$2"),0),1,1,$AB$17))</f>
        <v>0</v>
      </c>
      <c r="AT34" s="12" cm="1">
        <f t="array" aca="1" ref="AT34" ca="1">INDIRECT(ADDRESS(2+$AP34,1+MATCH($AB$9,INDIRECT($AB$18&amp;"!$B$2:$R$2"),0),1,1,$AB$18))</f>
        <v>0</v>
      </c>
      <c r="AX34" s="12">
        <v>25</v>
      </c>
      <c r="AY34" s="14">
        <f t="shared" si="27"/>
        <v>36892.249999999942</v>
      </c>
      <c r="AZ34" s="12" t="b">
        <f t="shared" ca="1" si="7"/>
        <v>1</v>
      </c>
      <c r="BA34" s="12" t="b">
        <f t="shared" ca="1" si="8"/>
        <v>1</v>
      </c>
      <c r="BB34" s="12" t="b">
        <f t="shared" ca="1" si="9"/>
        <v>1</v>
      </c>
      <c r="BE34" s="12">
        <v>25</v>
      </c>
      <c r="BF34" s="14">
        <f t="shared" si="28"/>
        <v>36892.249999999942</v>
      </c>
      <c r="BG34" s="12" t="str">
        <f t="shared" ca="1" si="10"/>
        <v/>
      </c>
      <c r="BH34" s="12" t="str">
        <f t="shared" ca="1" si="11"/>
        <v/>
      </c>
      <c r="BI34" s="12" t="str">
        <f t="shared" ca="1" si="12"/>
        <v/>
      </c>
      <c r="BL34" s="12">
        <v>25</v>
      </c>
      <c r="BM34" s="14">
        <f t="shared" si="29"/>
        <v>36892.249999999942</v>
      </c>
      <c r="BN34" s="12" t="str">
        <f t="shared" ca="1" si="13"/>
        <v/>
      </c>
      <c r="BO34" s="12" t="str">
        <f t="shared" ca="1" si="14"/>
        <v/>
      </c>
      <c r="BP34" s="12" t="str">
        <f t="shared" ca="1" si="15"/>
        <v/>
      </c>
      <c r="BS34" s="12">
        <v>25</v>
      </c>
      <c r="BT34" s="14">
        <f t="shared" si="30"/>
        <v>36892.249999999942</v>
      </c>
      <c r="BU34" s="12" t="str">
        <f t="shared" ca="1" si="16"/>
        <v/>
      </c>
      <c r="BV34" s="12" t="str">
        <f t="shared" ca="1" si="17"/>
        <v/>
      </c>
      <c r="BW34" s="12" t="str">
        <f t="shared" ca="1" si="18"/>
        <v/>
      </c>
      <c r="CA34" s="15"/>
      <c r="CH34" s="15"/>
      <c r="CO34" s="15"/>
      <c r="CV34" s="15"/>
    </row>
    <row r="35" spans="34:103" ht="16.5" customHeight="1">
      <c r="AI35" s="15"/>
      <c r="AP35" s="12">
        <v>26</v>
      </c>
      <c r="AQ35" s="14">
        <f t="shared" si="26"/>
        <v>36892.260416666606</v>
      </c>
      <c r="AR35" s="12" cm="1">
        <f t="array" aca="1" ref="AR35" ca="1">INDIRECT(ADDRESS(2+$AP35,1+MATCH($AB$9,INDIRECT($AB$16&amp;"!$B$2:$R$2"),0),1,1,$AB$16))</f>
        <v>0</v>
      </c>
      <c r="AS35" s="12" cm="1">
        <f t="array" aca="1" ref="AS35" ca="1">INDIRECT(ADDRESS(2+$AP35,1+MATCH($AB$9,INDIRECT($AB$17&amp;"!$B$2:$R$2"),0),1,1,$AB$17))</f>
        <v>0</v>
      </c>
      <c r="AT35" s="12" cm="1">
        <f t="array" aca="1" ref="AT35" ca="1">INDIRECT(ADDRESS(2+$AP35,1+MATCH($AB$9,INDIRECT($AB$18&amp;"!$B$2:$R$2"),0),1,1,$AB$18))</f>
        <v>0</v>
      </c>
      <c r="AX35" s="12">
        <v>26</v>
      </c>
      <c r="AY35" s="14">
        <f t="shared" si="27"/>
        <v>36892.260416666606</v>
      </c>
      <c r="AZ35" s="12" t="b">
        <f t="shared" ca="1" si="7"/>
        <v>1</v>
      </c>
      <c r="BA35" s="12" t="b">
        <f t="shared" ca="1" si="8"/>
        <v>1</v>
      </c>
      <c r="BB35" s="12" t="b">
        <f t="shared" ca="1" si="9"/>
        <v>1</v>
      </c>
      <c r="BE35" s="12">
        <v>26</v>
      </c>
      <c r="BF35" s="14">
        <f t="shared" si="28"/>
        <v>36892.260416666606</v>
      </c>
      <c r="BG35" s="12" t="str">
        <f t="shared" ca="1" si="10"/>
        <v/>
      </c>
      <c r="BH35" s="12" t="str">
        <f t="shared" ca="1" si="11"/>
        <v/>
      </c>
      <c r="BI35" s="12" t="str">
        <f t="shared" ca="1" si="12"/>
        <v/>
      </c>
      <c r="BL35" s="12">
        <v>26</v>
      </c>
      <c r="BM35" s="14">
        <f t="shared" si="29"/>
        <v>36892.260416666606</v>
      </c>
      <c r="BN35" s="12" t="str">
        <f t="shared" ca="1" si="13"/>
        <v/>
      </c>
      <c r="BO35" s="12" t="str">
        <f t="shared" ca="1" si="14"/>
        <v/>
      </c>
      <c r="BP35" s="12" t="str">
        <f t="shared" ca="1" si="15"/>
        <v/>
      </c>
      <c r="BS35" s="12">
        <v>26</v>
      </c>
      <c r="BT35" s="14">
        <f t="shared" si="30"/>
        <v>36892.260416666606</v>
      </c>
      <c r="BU35" s="12" t="str">
        <f t="shared" ca="1" si="16"/>
        <v/>
      </c>
      <c r="BV35" s="12" t="str">
        <f t="shared" ca="1" si="17"/>
        <v/>
      </c>
      <c r="BW35" s="12" t="str">
        <f t="shared" ca="1" si="18"/>
        <v/>
      </c>
      <c r="CA35" s="15"/>
      <c r="CH35" s="15"/>
      <c r="CO35" s="15"/>
      <c r="CV35" s="15"/>
    </row>
    <row r="36" spans="34:103" ht="16.5" customHeight="1">
      <c r="AI36" s="15"/>
      <c r="AP36" s="12">
        <v>27</v>
      </c>
      <c r="AQ36" s="14">
        <f t="shared" si="26"/>
        <v>36892.27083333327</v>
      </c>
      <c r="AR36" s="12" cm="1">
        <f t="array" aca="1" ref="AR36" ca="1">INDIRECT(ADDRESS(2+$AP36,1+MATCH($AB$9,INDIRECT($AB$16&amp;"!$B$2:$R$2"),0),1,1,$AB$16))</f>
        <v>0</v>
      </c>
      <c r="AS36" s="12" cm="1">
        <f t="array" aca="1" ref="AS36" ca="1">INDIRECT(ADDRESS(2+$AP36,1+MATCH($AB$9,INDIRECT($AB$17&amp;"!$B$2:$R$2"),0),1,1,$AB$17))</f>
        <v>0</v>
      </c>
      <c r="AT36" s="12" cm="1">
        <f t="array" aca="1" ref="AT36" ca="1">INDIRECT(ADDRESS(2+$AP36,1+MATCH($AB$9,INDIRECT($AB$18&amp;"!$B$2:$R$2"),0),1,1,$AB$18))</f>
        <v>0</v>
      </c>
      <c r="AX36" s="12">
        <v>27</v>
      </c>
      <c r="AY36" s="14">
        <f t="shared" si="27"/>
        <v>36892.27083333327</v>
      </c>
      <c r="AZ36" s="12" t="b">
        <f t="shared" ca="1" si="7"/>
        <v>1</v>
      </c>
      <c r="BA36" s="12" t="b">
        <f t="shared" ca="1" si="8"/>
        <v>1</v>
      </c>
      <c r="BB36" s="12" t="b">
        <f t="shared" ca="1" si="9"/>
        <v>1</v>
      </c>
      <c r="BE36" s="12">
        <v>27</v>
      </c>
      <c r="BF36" s="14">
        <f t="shared" si="28"/>
        <v>36892.27083333327</v>
      </c>
      <c r="BG36" s="12" t="str">
        <f t="shared" ca="1" si="10"/>
        <v/>
      </c>
      <c r="BH36" s="12" t="str">
        <f t="shared" ca="1" si="11"/>
        <v/>
      </c>
      <c r="BI36" s="12" t="str">
        <f t="shared" ca="1" si="12"/>
        <v/>
      </c>
      <c r="BL36" s="12">
        <v>27</v>
      </c>
      <c r="BM36" s="14">
        <f t="shared" si="29"/>
        <v>36892.27083333327</v>
      </c>
      <c r="BN36" s="12" t="str">
        <f t="shared" ca="1" si="13"/>
        <v/>
      </c>
      <c r="BO36" s="12" t="str">
        <f t="shared" ca="1" si="14"/>
        <v/>
      </c>
      <c r="BP36" s="12" t="str">
        <f t="shared" ca="1" si="15"/>
        <v/>
      </c>
      <c r="BS36" s="12">
        <v>27</v>
      </c>
      <c r="BT36" s="14">
        <f t="shared" si="30"/>
        <v>36892.27083333327</v>
      </c>
      <c r="BU36" s="12" t="str">
        <f t="shared" ca="1" si="16"/>
        <v/>
      </c>
      <c r="BV36" s="12" t="str">
        <f t="shared" ca="1" si="17"/>
        <v/>
      </c>
      <c r="BW36" s="12" t="str">
        <f t="shared" ca="1" si="18"/>
        <v/>
      </c>
      <c r="CA36" s="15"/>
      <c r="CH36" s="15"/>
      <c r="CO36" s="15"/>
      <c r="CV36" s="15"/>
    </row>
    <row r="37" spans="34:103" ht="16.5" customHeight="1">
      <c r="AI37" s="15"/>
      <c r="AP37" s="12">
        <v>28</v>
      </c>
      <c r="AQ37" s="14">
        <f t="shared" si="26"/>
        <v>36892.281249999935</v>
      </c>
      <c r="AR37" s="12" cm="1">
        <f t="array" aca="1" ref="AR37" ca="1">INDIRECT(ADDRESS(2+$AP37,1+MATCH($AB$9,INDIRECT($AB$16&amp;"!$B$2:$R$2"),0),1,1,$AB$16))</f>
        <v>0</v>
      </c>
      <c r="AS37" s="12" cm="1">
        <f t="array" aca="1" ref="AS37" ca="1">INDIRECT(ADDRESS(2+$AP37,1+MATCH($AB$9,INDIRECT($AB$17&amp;"!$B$2:$R$2"),0),1,1,$AB$17))</f>
        <v>0</v>
      </c>
      <c r="AT37" s="12" cm="1">
        <f t="array" aca="1" ref="AT37" ca="1">INDIRECT(ADDRESS(2+$AP37,1+MATCH($AB$9,INDIRECT($AB$18&amp;"!$B$2:$R$2"),0),1,1,$AB$18))</f>
        <v>0</v>
      </c>
      <c r="AX37" s="12">
        <v>28</v>
      </c>
      <c r="AY37" s="14">
        <f t="shared" si="27"/>
        <v>36892.281249999935</v>
      </c>
      <c r="AZ37" s="12" t="b">
        <f t="shared" ca="1" si="7"/>
        <v>1</v>
      </c>
      <c r="BA37" s="12" t="b">
        <f t="shared" ca="1" si="8"/>
        <v>1</v>
      </c>
      <c r="BB37" s="12" t="b">
        <f t="shared" ca="1" si="9"/>
        <v>1</v>
      </c>
      <c r="BE37" s="12">
        <v>28</v>
      </c>
      <c r="BF37" s="14">
        <f t="shared" si="28"/>
        <v>36892.281249999935</v>
      </c>
      <c r="BG37" s="12" t="str">
        <f t="shared" ca="1" si="10"/>
        <v/>
      </c>
      <c r="BH37" s="12" t="str">
        <f t="shared" ca="1" si="11"/>
        <v/>
      </c>
      <c r="BI37" s="12" t="str">
        <f t="shared" ca="1" si="12"/>
        <v/>
      </c>
      <c r="BL37" s="12">
        <v>28</v>
      </c>
      <c r="BM37" s="14">
        <f t="shared" si="29"/>
        <v>36892.281249999935</v>
      </c>
      <c r="BN37" s="12" t="str">
        <f t="shared" ca="1" si="13"/>
        <v/>
      </c>
      <c r="BO37" s="12" t="str">
        <f t="shared" ca="1" si="14"/>
        <v/>
      </c>
      <c r="BP37" s="12" t="str">
        <f t="shared" ca="1" si="15"/>
        <v/>
      </c>
      <c r="BS37" s="12">
        <v>28</v>
      </c>
      <c r="BT37" s="14">
        <f t="shared" si="30"/>
        <v>36892.281249999935</v>
      </c>
      <c r="BU37" s="12" t="str">
        <f t="shared" ca="1" si="16"/>
        <v/>
      </c>
      <c r="BV37" s="12" t="str">
        <f t="shared" ca="1" si="17"/>
        <v/>
      </c>
      <c r="BW37" s="12" t="str">
        <f t="shared" ca="1" si="18"/>
        <v/>
      </c>
      <c r="CA37" s="15"/>
      <c r="CH37" s="15"/>
      <c r="CO37" s="15"/>
      <c r="CV37" s="15"/>
    </row>
    <row r="38" spans="34:103" ht="16.5" customHeight="1">
      <c r="AI38" s="15"/>
      <c r="AP38" s="12">
        <v>29</v>
      </c>
      <c r="AQ38" s="14">
        <f t="shared" si="26"/>
        <v>36892.291666666599</v>
      </c>
      <c r="AR38" s="12" cm="1">
        <f t="array" aca="1" ref="AR38" ca="1">INDIRECT(ADDRESS(2+$AP38,1+MATCH($AB$9,INDIRECT($AB$16&amp;"!$B$2:$R$2"),0),1,1,$AB$16))</f>
        <v>0</v>
      </c>
      <c r="AS38" s="12" cm="1">
        <f t="array" aca="1" ref="AS38" ca="1">INDIRECT(ADDRESS(2+$AP38,1+MATCH($AB$9,INDIRECT($AB$17&amp;"!$B$2:$R$2"),0),1,1,$AB$17))</f>
        <v>0</v>
      </c>
      <c r="AT38" s="12" cm="1">
        <f t="array" aca="1" ref="AT38" ca="1">INDIRECT(ADDRESS(2+$AP38,1+MATCH($AB$9,INDIRECT($AB$18&amp;"!$B$2:$R$2"),0),1,1,$AB$18))</f>
        <v>0</v>
      </c>
      <c r="AX38" s="12">
        <v>29</v>
      </c>
      <c r="AY38" s="14">
        <f t="shared" si="27"/>
        <v>36892.291666666599</v>
      </c>
      <c r="AZ38" s="12" t="b">
        <f t="shared" ca="1" si="7"/>
        <v>1</v>
      </c>
      <c r="BA38" s="12" t="b">
        <f t="shared" ca="1" si="8"/>
        <v>1</v>
      </c>
      <c r="BB38" s="12" t="b">
        <f t="shared" ca="1" si="9"/>
        <v>1</v>
      </c>
      <c r="BE38" s="12">
        <v>29</v>
      </c>
      <c r="BF38" s="14">
        <f t="shared" si="28"/>
        <v>36892.291666666599</v>
      </c>
      <c r="BG38" s="12" t="str">
        <f t="shared" ca="1" si="10"/>
        <v/>
      </c>
      <c r="BH38" s="12" t="str">
        <f t="shared" ca="1" si="11"/>
        <v/>
      </c>
      <c r="BI38" s="12" t="str">
        <f t="shared" ca="1" si="12"/>
        <v/>
      </c>
      <c r="BL38" s="12">
        <v>29</v>
      </c>
      <c r="BM38" s="14">
        <f t="shared" si="29"/>
        <v>36892.291666666599</v>
      </c>
      <c r="BN38" s="12" t="str">
        <f t="shared" ca="1" si="13"/>
        <v/>
      </c>
      <c r="BO38" s="12" t="str">
        <f t="shared" ca="1" si="14"/>
        <v/>
      </c>
      <c r="BP38" s="12" t="str">
        <f t="shared" ca="1" si="15"/>
        <v/>
      </c>
      <c r="BS38" s="12">
        <v>29</v>
      </c>
      <c r="BT38" s="14">
        <f t="shared" si="30"/>
        <v>36892.291666666599</v>
      </c>
      <c r="BU38" s="12" t="str">
        <f t="shared" ca="1" si="16"/>
        <v/>
      </c>
      <c r="BV38" s="12" t="str">
        <f t="shared" ca="1" si="17"/>
        <v/>
      </c>
      <c r="BW38" s="12" t="str">
        <f t="shared" ca="1" si="18"/>
        <v/>
      </c>
      <c r="CA38" s="15"/>
      <c r="CH38" s="15"/>
      <c r="CO38" s="15"/>
      <c r="CV38" s="15"/>
    </row>
    <row r="39" spans="34:103" ht="16.5" customHeight="1">
      <c r="AI39" s="15"/>
      <c r="AP39" s="12">
        <v>30</v>
      </c>
      <c r="AQ39" s="14">
        <f t="shared" si="26"/>
        <v>36892.302083333263</v>
      </c>
      <c r="AR39" s="12" cm="1">
        <f t="array" aca="1" ref="AR39" ca="1">INDIRECT(ADDRESS(2+$AP39,1+MATCH($AB$9,INDIRECT($AB$16&amp;"!$B$2:$R$2"),0),1,1,$AB$16))</f>
        <v>0</v>
      </c>
      <c r="AS39" s="12" cm="1">
        <f t="array" aca="1" ref="AS39" ca="1">INDIRECT(ADDRESS(2+$AP39,1+MATCH($AB$9,INDIRECT($AB$17&amp;"!$B$2:$R$2"),0),1,1,$AB$17))</f>
        <v>0</v>
      </c>
      <c r="AT39" s="12" cm="1">
        <f t="array" aca="1" ref="AT39" ca="1">INDIRECT(ADDRESS(2+$AP39,1+MATCH($AB$9,INDIRECT($AB$18&amp;"!$B$2:$R$2"),0),1,1,$AB$18))</f>
        <v>0</v>
      </c>
      <c r="AX39" s="12">
        <v>30</v>
      </c>
      <c r="AY39" s="14">
        <f t="shared" si="27"/>
        <v>36892.302083333263</v>
      </c>
      <c r="AZ39" s="12" t="b">
        <f t="shared" ca="1" si="7"/>
        <v>1</v>
      </c>
      <c r="BA39" s="12" t="b">
        <f t="shared" ca="1" si="8"/>
        <v>1</v>
      </c>
      <c r="BB39" s="12" t="b">
        <f t="shared" ca="1" si="9"/>
        <v>1</v>
      </c>
      <c r="BE39" s="12">
        <v>30</v>
      </c>
      <c r="BF39" s="14">
        <f t="shared" si="28"/>
        <v>36892.302083333263</v>
      </c>
      <c r="BG39" s="12" t="str">
        <f t="shared" ca="1" si="10"/>
        <v/>
      </c>
      <c r="BH39" s="12" t="str">
        <f t="shared" ca="1" si="11"/>
        <v/>
      </c>
      <c r="BI39" s="12" t="str">
        <f t="shared" ca="1" si="12"/>
        <v/>
      </c>
      <c r="BL39" s="12">
        <v>30</v>
      </c>
      <c r="BM39" s="14">
        <f t="shared" si="29"/>
        <v>36892.302083333263</v>
      </c>
      <c r="BN39" s="12" t="str">
        <f t="shared" ca="1" si="13"/>
        <v/>
      </c>
      <c r="BO39" s="12" t="str">
        <f t="shared" ca="1" si="14"/>
        <v/>
      </c>
      <c r="BP39" s="12" t="str">
        <f t="shared" ca="1" si="15"/>
        <v/>
      </c>
      <c r="BS39" s="12">
        <v>30</v>
      </c>
      <c r="BT39" s="14">
        <f t="shared" si="30"/>
        <v>36892.302083333263</v>
      </c>
      <c r="BU39" s="12" t="str">
        <f t="shared" ca="1" si="16"/>
        <v/>
      </c>
      <c r="BV39" s="12" t="str">
        <f t="shared" ca="1" si="17"/>
        <v/>
      </c>
      <c r="BW39" s="12" t="str">
        <f t="shared" ca="1" si="18"/>
        <v/>
      </c>
      <c r="CA39" s="15"/>
      <c r="CH39" s="15"/>
      <c r="CO39" s="15"/>
      <c r="CV39" s="15"/>
    </row>
    <row r="40" spans="34:103" ht="16.5" customHeight="1">
      <c r="AI40" s="15"/>
      <c r="AP40" s="12">
        <v>31</v>
      </c>
      <c r="AQ40" s="14">
        <f t="shared" si="26"/>
        <v>36892.312499999927</v>
      </c>
      <c r="AR40" s="12" cm="1">
        <f t="array" aca="1" ref="AR40" ca="1">INDIRECT(ADDRESS(2+$AP40,1+MATCH($AB$9,INDIRECT($AB$16&amp;"!$B$2:$R$2"),0),1,1,$AB$16))</f>
        <v>0</v>
      </c>
      <c r="AS40" s="12" cm="1">
        <f t="array" aca="1" ref="AS40" ca="1">INDIRECT(ADDRESS(2+$AP40,1+MATCH($AB$9,INDIRECT($AB$17&amp;"!$B$2:$R$2"),0),1,1,$AB$17))</f>
        <v>0</v>
      </c>
      <c r="AT40" s="12" cm="1">
        <f t="array" aca="1" ref="AT40" ca="1">INDIRECT(ADDRESS(2+$AP40,1+MATCH($AB$9,INDIRECT($AB$18&amp;"!$B$2:$R$2"),0),1,1,$AB$18))</f>
        <v>0</v>
      </c>
      <c r="AX40" s="12">
        <v>31</v>
      </c>
      <c r="AY40" s="14">
        <f t="shared" si="27"/>
        <v>36892.312499999927</v>
      </c>
      <c r="AZ40" s="12" t="b">
        <f t="shared" ca="1" si="7"/>
        <v>1</v>
      </c>
      <c r="BA40" s="12" t="b">
        <f t="shared" ca="1" si="8"/>
        <v>1</v>
      </c>
      <c r="BB40" s="12" t="b">
        <f t="shared" ca="1" si="9"/>
        <v>1</v>
      </c>
      <c r="BE40" s="12">
        <v>31</v>
      </c>
      <c r="BF40" s="14">
        <f t="shared" si="28"/>
        <v>36892.312499999927</v>
      </c>
      <c r="BG40" s="12" t="str">
        <f t="shared" ca="1" si="10"/>
        <v/>
      </c>
      <c r="BH40" s="12" t="str">
        <f t="shared" ca="1" si="11"/>
        <v/>
      </c>
      <c r="BI40" s="12" t="str">
        <f t="shared" ca="1" si="12"/>
        <v/>
      </c>
      <c r="BL40" s="12">
        <v>31</v>
      </c>
      <c r="BM40" s="14">
        <f t="shared" si="29"/>
        <v>36892.312499999927</v>
      </c>
      <c r="BN40" s="12" t="str">
        <f t="shared" ca="1" si="13"/>
        <v/>
      </c>
      <c r="BO40" s="12" t="str">
        <f t="shared" ca="1" si="14"/>
        <v/>
      </c>
      <c r="BP40" s="12" t="str">
        <f t="shared" ca="1" si="15"/>
        <v/>
      </c>
      <c r="BS40" s="12">
        <v>31</v>
      </c>
      <c r="BT40" s="14">
        <f t="shared" si="30"/>
        <v>36892.312499999927</v>
      </c>
      <c r="BU40" s="12" t="str">
        <f t="shared" ca="1" si="16"/>
        <v/>
      </c>
      <c r="BV40" s="12" t="str">
        <f t="shared" ca="1" si="17"/>
        <v/>
      </c>
      <c r="BW40" s="12" t="str">
        <f t="shared" ca="1" si="18"/>
        <v/>
      </c>
      <c r="CA40" s="15"/>
      <c r="CH40" s="15"/>
      <c r="CO40" s="15"/>
      <c r="CV40" s="15"/>
    </row>
    <row r="41" spans="34:103" ht="16.5" customHeight="1">
      <c r="AI41" s="15"/>
      <c r="AP41" s="12">
        <v>32</v>
      </c>
      <c r="AQ41" s="14">
        <f t="shared" si="26"/>
        <v>36892.322916666591</v>
      </c>
      <c r="AR41" s="12" cm="1">
        <f t="array" aca="1" ref="AR41" ca="1">INDIRECT(ADDRESS(2+$AP41,1+MATCH($AB$9,INDIRECT($AB$16&amp;"!$B$2:$R$2"),0),1,1,$AB$16))</f>
        <v>0</v>
      </c>
      <c r="AS41" s="12" cm="1">
        <f t="array" aca="1" ref="AS41" ca="1">INDIRECT(ADDRESS(2+$AP41,1+MATCH($AB$9,INDIRECT($AB$17&amp;"!$B$2:$R$2"),0),1,1,$AB$17))</f>
        <v>0</v>
      </c>
      <c r="AT41" s="12" cm="1">
        <f t="array" aca="1" ref="AT41" ca="1">INDIRECT(ADDRESS(2+$AP41,1+MATCH($AB$9,INDIRECT($AB$18&amp;"!$B$2:$R$2"),0),1,1,$AB$18))</f>
        <v>0</v>
      </c>
      <c r="AX41" s="12">
        <v>32</v>
      </c>
      <c r="AY41" s="14">
        <f t="shared" si="27"/>
        <v>36892.322916666591</v>
      </c>
      <c r="AZ41" s="12" t="b">
        <f t="shared" ca="1" si="7"/>
        <v>1</v>
      </c>
      <c r="BA41" s="12" t="b">
        <f t="shared" ca="1" si="8"/>
        <v>1</v>
      </c>
      <c r="BB41" s="12" t="b">
        <f t="shared" ca="1" si="9"/>
        <v>1</v>
      </c>
      <c r="BE41" s="12">
        <v>32</v>
      </c>
      <c r="BF41" s="14">
        <f t="shared" si="28"/>
        <v>36892.322916666591</v>
      </c>
      <c r="BG41" s="12" t="str">
        <f t="shared" ca="1" si="10"/>
        <v/>
      </c>
      <c r="BH41" s="12" t="str">
        <f t="shared" ca="1" si="11"/>
        <v/>
      </c>
      <c r="BI41" s="12" t="str">
        <f t="shared" ca="1" si="12"/>
        <v/>
      </c>
      <c r="BL41" s="12">
        <v>32</v>
      </c>
      <c r="BM41" s="14">
        <f t="shared" si="29"/>
        <v>36892.322916666591</v>
      </c>
      <c r="BN41" s="12" t="str">
        <f t="shared" ca="1" si="13"/>
        <v/>
      </c>
      <c r="BO41" s="12" t="str">
        <f t="shared" ca="1" si="14"/>
        <v/>
      </c>
      <c r="BP41" s="12" t="str">
        <f t="shared" ca="1" si="15"/>
        <v/>
      </c>
      <c r="BS41" s="12">
        <v>32</v>
      </c>
      <c r="BT41" s="14">
        <f t="shared" si="30"/>
        <v>36892.322916666591</v>
      </c>
      <c r="BU41" s="12" t="str">
        <f t="shared" ca="1" si="16"/>
        <v/>
      </c>
      <c r="BV41" s="12" t="str">
        <f t="shared" ca="1" si="17"/>
        <v/>
      </c>
      <c r="BW41" s="12" t="str">
        <f t="shared" ca="1" si="18"/>
        <v/>
      </c>
      <c r="CA41" s="15"/>
      <c r="CH41" s="15"/>
      <c r="CO41" s="15"/>
      <c r="CV41" s="15"/>
    </row>
    <row r="42" spans="34:103" ht="16.5" customHeight="1">
      <c r="AI42" s="15"/>
      <c r="AP42" s="12">
        <v>33</v>
      </c>
      <c r="AQ42" s="14">
        <f t="shared" si="26"/>
        <v>36892.333333333256</v>
      </c>
      <c r="AR42" s="12" cm="1">
        <f t="array" aca="1" ref="AR42" ca="1">INDIRECT(ADDRESS(2+$AP42,1+MATCH($AB$9,INDIRECT($AB$16&amp;"!$B$2:$R$2"),0),1,1,$AB$16))</f>
        <v>0</v>
      </c>
      <c r="AS42" s="12" cm="1">
        <f t="array" aca="1" ref="AS42" ca="1">INDIRECT(ADDRESS(2+$AP42,1+MATCH($AB$9,INDIRECT($AB$17&amp;"!$B$2:$R$2"),0),1,1,$AB$17))</f>
        <v>0</v>
      </c>
      <c r="AT42" s="12" cm="1">
        <f t="array" aca="1" ref="AT42" ca="1">INDIRECT(ADDRESS(2+$AP42,1+MATCH($AB$9,INDIRECT($AB$18&amp;"!$B$2:$R$2"),0),1,1,$AB$18))</f>
        <v>0</v>
      </c>
      <c r="AX42" s="12">
        <v>33</v>
      </c>
      <c r="AY42" s="14">
        <f t="shared" si="27"/>
        <v>36892.333333333256</v>
      </c>
      <c r="AZ42" s="12" t="b">
        <f t="shared" ca="1" si="7"/>
        <v>1</v>
      </c>
      <c r="BA42" s="12" t="b">
        <f t="shared" ca="1" si="8"/>
        <v>1</v>
      </c>
      <c r="BB42" s="12" t="b">
        <f t="shared" ca="1" si="9"/>
        <v>1</v>
      </c>
      <c r="BE42" s="12">
        <v>33</v>
      </c>
      <c r="BF42" s="14">
        <f t="shared" si="28"/>
        <v>36892.333333333256</v>
      </c>
      <c r="BG42" s="12" t="str">
        <f t="shared" ca="1" si="10"/>
        <v/>
      </c>
      <c r="BH42" s="12" t="str">
        <f t="shared" ca="1" si="11"/>
        <v/>
      </c>
      <c r="BI42" s="12" t="str">
        <f t="shared" ca="1" si="12"/>
        <v/>
      </c>
      <c r="BL42" s="12">
        <v>33</v>
      </c>
      <c r="BM42" s="14">
        <f t="shared" si="29"/>
        <v>36892.333333333256</v>
      </c>
      <c r="BN42" s="12" t="str">
        <f t="shared" ca="1" si="13"/>
        <v/>
      </c>
      <c r="BO42" s="12" t="str">
        <f t="shared" ca="1" si="14"/>
        <v/>
      </c>
      <c r="BP42" s="12" t="str">
        <f t="shared" ca="1" si="15"/>
        <v/>
      </c>
      <c r="BS42" s="12">
        <v>33</v>
      </c>
      <c r="BT42" s="14">
        <f t="shared" si="30"/>
        <v>36892.333333333256</v>
      </c>
      <c r="BU42" s="12" t="str">
        <f t="shared" ca="1" si="16"/>
        <v/>
      </c>
      <c r="BV42" s="12" t="str">
        <f t="shared" ca="1" si="17"/>
        <v/>
      </c>
      <c r="BW42" s="12" t="str">
        <f t="shared" ca="1" si="18"/>
        <v/>
      </c>
      <c r="CA42" s="15"/>
      <c r="CH42" s="15"/>
      <c r="CO42" s="15"/>
      <c r="CV42" s="15"/>
    </row>
    <row r="43" spans="34:103" ht="16.5" customHeight="1">
      <c r="AI43" s="15"/>
      <c r="AP43" s="12">
        <v>34</v>
      </c>
      <c r="AQ43" s="14">
        <f t="shared" si="26"/>
        <v>36892.34374999992</v>
      </c>
      <c r="AR43" s="12" cm="1">
        <f t="array" aca="1" ref="AR43" ca="1">INDIRECT(ADDRESS(2+$AP43,1+MATCH($AB$9,INDIRECT($AB$16&amp;"!$B$2:$R$2"),0),1,1,$AB$16))</f>
        <v>0</v>
      </c>
      <c r="AS43" s="12" cm="1">
        <f t="array" aca="1" ref="AS43" ca="1">INDIRECT(ADDRESS(2+$AP43,1+MATCH($AB$9,INDIRECT($AB$17&amp;"!$B$2:$R$2"),0),1,1,$AB$17))</f>
        <v>0</v>
      </c>
      <c r="AT43" s="12" cm="1">
        <f t="array" aca="1" ref="AT43" ca="1">INDIRECT(ADDRESS(2+$AP43,1+MATCH($AB$9,INDIRECT($AB$18&amp;"!$B$2:$R$2"),0),1,1,$AB$18))</f>
        <v>0</v>
      </c>
      <c r="AX43" s="12">
        <v>34</v>
      </c>
      <c r="AY43" s="14">
        <f t="shared" si="27"/>
        <v>36892.34374999992</v>
      </c>
      <c r="AZ43" s="12" t="b">
        <f t="shared" ca="1" si="7"/>
        <v>1</v>
      </c>
      <c r="BA43" s="12" t="b">
        <f t="shared" ca="1" si="8"/>
        <v>1</v>
      </c>
      <c r="BB43" s="12" t="b">
        <f t="shared" ca="1" si="9"/>
        <v>1</v>
      </c>
      <c r="BE43" s="12">
        <v>34</v>
      </c>
      <c r="BF43" s="14">
        <f t="shared" si="28"/>
        <v>36892.34374999992</v>
      </c>
      <c r="BG43" s="12" t="str">
        <f t="shared" ca="1" si="10"/>
        <v/>
      </c>
      <c r="BH43" s="12" t="str">
        <f t="shared" ca="1" si="11"/>
        <v/>
      </c>
      <c r="BI43" s="12" t="str">
        <f t="shared" ca="1" si="12"/>
        <v/>
      </c>
      <c r="BL43" s="12">
        <v>34</v>
      </c>
      <c r="BM43" s="14">
        <f t="shared" si="29"/>
        <v>36892.34374999992</v>
      </c>
      <c r="BN43" s="12" t="str">
        <f t="shared" ca="1" si="13"/>
        <v/>
      </c>
      <c r="BO43" s="12" t="str">
        <f t="shared" ca="1" si="14"/>
        <v/>
      </c>
      <c r="BP43" s="12" t="str">
        <f t="shared" ca="1" si="15"/>
        <v/>
      </c>
      <c r="BS43" s="12">
        <v>34</v>
      </c>
      <c r="BT43" s="14">
        <f t="shared" si="30"/>
        <v>36892.34374999992</v>
      </c>
      <c r="BU43" s="12" t="str">
        <f t="shared" ca="1" si="16"/>
        <v/>
      </c>
      <c r="BV43" s="12" t="str">
        <f t="shared" ca="1" si="17"/>
        <v/>
      </c>
      <c r="BW43" s="12" t="str">
        <f t="shared" ca="1" si="18"/>
        <v/>
      </c>
      <c r="CA43" s="15"/>
      <c r="CH43" s="15"/>
      <c r="CO43" s="15"/>
      <c r="CV43" s="15"/>
    </row>
    <row r="44" spans="34:103" ht="16.5" customHeight="1">
      <c r="AI44" s="15"/>
      <c r="AP44" s="12">
        <v>35</v>
      </c>
      <c r="AQ44" s="14">
        <f t="shared" si="26"/>
        <v>36892.354166666584</v>
      </c>
      <c r="AR44" s="12" cm="1">
        <f t="array" aca="1" ref="AR44" ca="1">INDIRECT(ADDRESS(2+$AP44,1+MATCH($AB$9,INDIRECT($AB$16&amp;"!$B$2:$R$2"),0),1,1,$AB$16))</f>
        <v>0</v>
      </c>
      <c r="AS44" s="12" cm="1">
        <f t="array" aca="1" ref="AS44" ca="1">INDIRECT(ADDRESS(2+$AP44,1+MATCH($AB$9,INDIRECT($AB$17&amp;"!$B$2:$R$2"),0),1,1,$AB$17))</f>
        <v>0</v>
      </c>
      <c r="AT44" s="12" cm="1">
        <f t="array" aca="1" ref="AT44" ca="1">INDIRECT(ADDRESS(2+$AP44,1+MATCH($AB$9,INDIRECT($AB$18&amp;"!$B$2:$R$2"),0),1,1,$AB$18))</f>
        <v>0</v>
      </c>
      <c r="AX44" s="12">
        <v>35</v>
      </c>
      <c r="AY44" s="14">
        <f t="shared" si="27"/>
        <v>36892.354166666584</v>
      </c>
      <c r="AZ44" s="12" t="b">
        <f t="shared" ca="1" si="7"/>
        <v>1</v>
      </c>
      <c r="BA44" s="12" t="b">
        <f t="shared" ca="1" si="8"/>
        <v>1</v>
      </c>
      <c r="BB44" s="12" t="b">
        <f t="shared" ca="1" si="9"/>
        <v>1</v>
      </c>
      <c r="BE44" s="12">
        <v>35</v>
      </c>
      <c r="BF44" s="14">
        <f t="shared" si="28"/>
        <v>36892.354166666584</v>
      </c>
      <c r="BG44" s="12" t="str">
        <f t="shared" ca="1" si="10"/>
        <v/>
      </c>
      <c r="BH44" s="12" t="str">
        <f t="shared" ca="1" si="11"/>
        <v/>
      </c>
      <c r="BI44" s="12" t="str">
        <f t="shared" ca="1" si="12"/>
        <v/>
      </c>
      <c r="BL44" s="12">
        <v>35</v>
      </c>
      <c r="BM44" s="14">
        <f t="shared" si="29"/>
        <v>36892.354166666584</v>
      </c>
      <c r="BN44" s="12" t="str">
        <f t="shared" ca="1" si="13"/>
        <v/>
      </c>
      <c r="BO44" s="12" t="str">
        <f t="shared" ca="1" si="14"/>
        <v/>
      </c>
      <c r="BP44" s="12" t="str">
        <f t="shared" ca="1" si="15"/>
        <v/>
      </c>
      <c r="BS44" s="12">
        <v>35</v>
      </c>
      <c r="BT44" s="14">
        <f t="shared" si="30"/>
        <v>36892.354166666584</v>
      </c>
      <c r="BU44" s="12" t="str">
        <f t="shared" ca="1" si="16"/>
        <v/>
      </c>
      <c r="BV44" s="12" t="str">
        <f t="shared" ca="1" si="17"/>
        <v/>
      </c>
      <c r="BW44" s="12" t="str">
        <f t="shared" ca="1" si="18"/>
        <v/>
      </c>
      <c r="CA44" s="15"/>
      <c r="CH44" s="15"/>
      <c r="CO44" s="15"/>
      <c r="CV44" s="15"/>
    </row>
    <row r="45" spans="34:103" ht="16.5" customHeight="1">
      <c r="AI45" s="15"/>
      <c r="AP45" s="12">
        <v>36</v>
      </c>
      <c r="AQ45" s="14">
        <f t="shared" si="26"/>
        <v>36892.364583333248</v>
      </c>
      <c r="AR45" s="12" cm="1">
        <f t="array" aca="1" ref="AR45" ca="1">INDIRECT(ADDRESS(2+$AP45,1+MATCH($AB$9,INDIRECT($AB$16&amp;"!$B$2:$R$2"),0),1,1,$AB$16))</f>
        <v>0</v>
      </c>
      <c r="AS45" s="12" cm="1">
        <f t="array" aca="1" ref="AS45" ca="1">INDIRECT(ADDRESS(2+$AP45,1+MATCH($AB$9,INDIRECT($AB$17&amp;"!$B$2:$R$2"),0),1,1,$AB$17))</f>
        <v>0</v>
      </c>
      <c r="AT45" s="12" cm="1">
        <f t="array" aca="1" ref="AT45" ca="1">INDIRECT(ADDRESS(2+$AP45,1+MATCH($AB$9,INDIRECT($AB$18&amp;"!$B$2:$R$2"),0),1,1,$AB$18))</f>
        <v>0</v>
      </c>
      <c r="AX45" s="12">
        <v>36</v>
      </c>
      <c r="AY45" s="14">
        <f t="shared" si="27"/>
        <v>36892.364583333248</v>
      </c>
      <c r="AZ45" s="12" t="b">
        <f t="shared" ca="1" si="7"/>
        <v>1</v>
      </c>
      <c r="BA45" s="12" t="b">
        <f t="shared" ca="1" si="8"/>
        <v>1</v>
      </c>
      <c r="BB45" s="12" t="b">
        <f t="shared" ca="1" si="9"/>
        <v>1</v>
      </c>
      <c r="BE45" s="12">
        <v>36</v>
      </c>
      <c r="BF45" s="14">
        <f t="shared" si="28"/>
        <v>36892.364583333248</v>
      </c>
      <c r="BG45" s="12" t="str">
        <f t="shared" ca="1" si="10"/>
        <v/>
      </c>
      <c r="BH45" s="12" t="str">
        <f t="shared" ca="1" si="11"/>
        <v/>
      </c>
      <c r="BI45" s="12" t="str">
        <f t="shared" ca="1" si="12"/>
        <v/>
      </c>
      <c r="BL45" s="12">
        <v>36</v>
      </c>
      <c r="BM45" s="14">
        <f t="shared" si="29"/>
        <v>36892.364583333248</v>
      </c>
      <c r="BN45" s="12" t="str">
        <f t="shared" ca="1" si="13"/>
        <v/>
      </c>
      <c r="BO45" s="12" t="str">
        <f t="shared" ca="1" si="14"/>
        <v/>
      </c>
      <c r="BP45" s="12" t="str">
        <f t="shared" ca="1" si="15"/>
        <v/>
      </c>
      <c r="BS45" s="12">
        <v>36</v>
      </c>
      <c r="BT45" s="14">
        <f t="shared" si="30"/>
        <v>36892.364583333248</v>
      </c>
      <c r="BU45" s="12" t="str">
        <f t="shared" ca="1" si="16"/>
        <v/>
      </c>
      <c r="BV45" s="12" t="str">
        <f t="shared" ca="1" si="17"/>
        <v/>
      </c>
      <c r="BW45" s="12" t="str">
        <f t="shared" ca="1" si="18"/>
        <v/>
      </c>
      <c r="CA45" s="15"/>
      <c r="CH45" s="15"/>
      <c r="CO45" s="15"/>
      <c r="CV45" s="15"/>
    </row>
    <row r="46" spans="34:103" ht="16.5" customHeight="1">
      <c r="AI46" s="15"/>
      <c r="AP46" s="12">
        <v>37</v>
      </c>
      <c r="AQ46" s="14">
        <f t="shared" si="26"/>
        <v>36892.374999999913</v>
      </c>
      <c r="AR46" s="12" cm="1">
        <f t="array" aca="1" ref="AR46" ca="1">INDIRECT(ADDRESS(2+$AP46,1+MATCH($AB$9,INDIRECT($AB$16&amp;"!$B$2:$R$2"),0),1,1,$AB$16))</f>
        <v>0</v>
      </c>
      <c r="AS46" s="12" cm="1">
        <f t="array" aca="1" ref="AS46" ca="1">INDIRECT(ADDRESS(2+$AP46,1+MATCH($AB$9,INDIRECT($AB$17&amp;"!$B$2:$R$2"),0),1,1,$AB$17))</f>
        <v>0</v>
      </c>
      <c r="AT46" s="12" cm="1">
        <f t="array" aca="1" ref="AT46" ca="1">INDIRECT(ADDRESS(2+$AP46,1+MATCH($AB$9,INDIRECT($AB$18&amp;"!$B$2:$R$2"),0),1,1,$AB$18))</f>
        <v>0</v>
      </c>
      <c r="AX46" s="12">
        <v>37</v>
      </c>
      <c r="AY46" s="14">
        <f t="shared" si="27"/>
        <v>36892.374999999913</v>
      </c>
      <c r="AZ46" s="12" t="b">
        <f t="shared" ca="1" si="7"/>
        <v>1</v>
      </c>
      <c r="BA46" s="12" t="b">
        <f t="shared" ca="1" si="8"/>
        <v>1</v>
      </c>
      <c r="BB46" s="12" t="b">
        <f t="shared" ca="1" si="9"/>
        <v>1</v>
      </c>
      <c r="BE46" s="12">
        <v>37</v>
      </c>
      <c r="BF46" s="14">
        <f t="shared" si="28"/>
        <v>36892.374999999913</v>
      </c>
      <c r="BG46" s="12" t="str">
        <f t="shared" ca="1" si="10"/>
        <v/>
      </c>
      <c r="BH46" s="12" t="str">
        <f t="shared" ca="1" si="11"/>
        <v/>
      </c>
      <c r="BI46" s="12" t="str">
        <f t="shared" ca="1" si="12"/>
        <v/>
      </c>
      <c r="BL46" s="12">
        <v>37</v>
      </c>
      <c r="BM46" s="14">
        <f t="shared" si="29"/>
        <v>36892.374999999913</v>
      </c>
      <c r="BN46" s="12" t="str">
        <f t="shared" ca="1" si="13"/>
        <v/>
      </c>
      <c r="BO46" s="12" t="str">
        <f t="shared" ca="1" si="14"/>
        <v/>
      </c>
      <c r="BP46" s="12" t="str">
        <f t="shared" ca="1" si="15"/>
        <v/>
      </c>
      <c r="BS46" s="12">
        <v>37</v>
      </c>
      <c r="BT46" s="14">
        <f t="shared" si="30"/>
        <v>36892.374999999913</v>
      </c>
      <c r="BU46" s="12" t="str">
        <f t="shared" ca="1" si="16"/>
        <v/>
      </c>
      <c r="BV46" s="12" t="str">
        <f t="shared" ca="1" si="17"/>
        <v/>
      </c>
      <c r="BW46" s="12" t="str">
        <f t="shared" ca="1" si="18"/>
        <v/>
      </c>
      <c r="CA46" s="15"/>
      <c r="CH46" s="15"/>
      <c r="CO46" s="15"/>
      <c r="CV46" s="15"/>
    </row>
    <row r="47" spans="34:103" ht="16.5" customHeight="1">
      <c r="AI47" s="15"/>
      <c r="AP47" s="12">
        <v>38</v>
      </c>
      <c r="AQ47" s="14">
        <f t="shared" si="26"/>
        <v>36892.385416666577</v>
      </c>
      <c r="AR47" s="12" cm="1">
        <f t="array" aca="1" ref="AR47" ca="1">INDIRECT(ADDRESS(2+$AP47,1+MATCH($AB$9,INDIRECT($AB$16&amp;"!$B$2:$R$2"),0),1,1,$AB$16))</f>
        <v>0</v>
      </c>
      <c r="AS47" s="12" cm="1">
        <f t="array" aca="1" ref="AS47" ca="1">INDIRECT(ADDRESS(2+$AP47,1+MATCH($AB$9,INDIRECT($AB$17&amp;"!$B$2:$R$2"),0),1,1,$AB$17))</f>
        <v>0</v>
      </c>
      <c r="AT47" s="12" cm="1">
        <f t="array" aca="1" ref="AT47" ca="1">INDIRECT(ADDRESS(2+$AP47,1+MATCH($AB$9,INDIRECT($AB$18&amp;"!$B$2:$R$2"),0),1,1,$AB$18))</f>
        <v>0</v>
      </c>
      <c r="AX47" s="12">
        <v>38</v>
      </c>
      <c r="AY47" s="14">
        <f t="shared" si="27"/>
        <v>36892.385416666577</v>
      </c>
      <c r="AZ47" s="12" t="b">
        <f t="shared" ca="1" si="7"/>
        <v>1</v>
      </c>
      <c r="BA47" s="12" t="b">
        <f t="shared" ca="1" si="8"/>
        <v>1</v>
      </c>
      <c r="BB47" s="12" t="b">
        <f t="shared" ca="1" si="9"/>
        <v>1</v>
      </c>
      <c r="BE47" s="12">
        <v>38</v>
      </c>
      <c r="BF47" s="14">
        <f t="shared" si="28"/>
        <v>36892.385416666577</v>
      </c>
      <c r="BG47" s="12" t="str">
        <f t="shared" ca="1" si="10"/>
        <v/>
      </c>
      <c r="BH47" s="12" t="str">
        <f t="shared" ca="1" si="11"/>
        <v/>
      </c>
      <c r="BI47" s="12" t="str">
        <f t="shared" ca="1" si="12"/>
        <v/>
      </c>
      <c r="BL47" s="12">
        <v>38</v>
      </c>
      <c r="BM47" s="14">
        <f t="shared" si="29"/>
        <v>36892.385416666577</v>
      </c>
      <c r="BN47" s="12" t="str">
        <f t="shared" ca="1" si="13"/>
        <v/>
      </c>
      <c r="BO47" s="12" t="str">
        <f t="shared" ca="1" si="14"/>
        <v/>
      </c>
      <c r="BP47" s="12" t="str">
        <f t="shared" ca="1" si="15"/>
        <v/>
      </c>
      <c r="BS47" s="12">
        <v>38</v>
      </c>
      <c r="BT47" s="14">
        <f t="shared" si="30"/>
        <v>36892.385416666577</v>
      </c>
      <c r="BU47" s="12" t="str">
        <f t="shared" ca="1" si="16"/>
        <v/>
      </c>
      <c r="BV47" s="12" t="str">
        <f t="shared" ca="1" si="17"/>
        <v/>
      </c>
      <c r="BW47" s="12" t="str">
        <f t="shared" ca="1" si="18"/>
        <v/>
      </c>
      <c r="CA47" s="15"/>
      <c r="CH47" s="15"/>
      <c r="CO47" s="15"/>
      <c r="CV47" s="15"/>
    </row>
    <row r="48" spans="34:103" ht="16.5" customHeight="1">
      <c r="AI48" s="15"/>
      <c r="AP48" s="12">
        <v>39</v>
      </c>
      <c r="AQ48" s="14">
        <f t="shared" si="26"/>
        <v>36892.395833333241</v>
      </c>
      <c r="AR48" s="12" cm="1">
        <f t="array" aca="1" ref="AR48" ca="1">INDIRECT(ADDRESS(2+$AP48,1+MATCH($AB$9,INDIRECT($AB$16&amp;"!$B$2:$R$2"),0),1,1,$AB$16))</f>
        <v>0</v>
      </c>
      <c r="AS48" s="12" cm="1">
        <f t="array" aca="1" ref="AS48" ca="1">INDIRECT(ADDRESS(2+$AP48,1+MATCH($AB$9,INDIRECT($AB$17&amp;"!$B$2:$R$2"),0),1,1,$AB$17))</f>
        <v>0</v>
      </c>
      <c r="AT48" s="12" cm="1">
        <f t="array" aca="1" ref="AT48" ca="1">INDIRECT(ADDRESS(2+$AP48,1+MATCH($AB$9,INDIRECT($AB$18&amp;"!$B$2:$R$2"),0),1,1,$AB$18))</f>
        <v>0</v>
      </c>
      <c r="AX48" s="12">
        <v>39</v>
      </c>
      <c r="AY48" s="14">
        <f t="shared" si="27"/>
        <v>36892.395833333241</v>
      </c>
      <c r="AZ48" s="12" t="b">
        <f t="shared" ca="1" si="7"/>
        <v>1</v>
      </c>
      <c r="BA48" s="12" t="b">
        <f t="shared" ca="1" si="8"/>
        <v>1</v>
      </c>
      <c r="BB48" s="12" t="b">
        <f t="shared" ca="1" si="9"/>
        <v>1</v>
      </c>
      <c r="BE48" s="12">
        <v>39</v>
      </c>
      <c r="BF48" s="14">
        <f t="shared" si="28"/>
        <v>36892.395833333241</v>
      </c>
      <c r="BG48" s="12" t="str">
        <f t="shared" ca="1" si="10"/>
        <v/>
      </c>
      <c r="BH48" s="12" t="str">
        <f t="shared" ca="1" si="11"/>
        <v/>
      </c>
      <c r="BI48" s="12" t="str">
        <f t="shared" ca="1" si="12"/>
        <v/>
      </c>
      <c r="BL48" s="12">
        <v>39</v>
      </c>
      <c r="BM48" s="14">
        <f t="shared" si="29"/>
        <v>36892.395833333241</v>
      </c>
      <c r="BN48" s="12" t="str">
        <f t="shared" ca="1" si="13"/>
        <v/>
      </c>
      <c r="BO48" s="12" t="str">
        <f t="shared" ca="1" si="14"/>
        <v/>
      </c>
      <c r="BP48" s="12" t="str">
        <f t="shared" ca="1" si="15"/>
        <v/>
      </c>
      <c r="BS48" s="12">
        <v>39</v>
      </c>
      <c r="BT48" s="14">
        <f t="shared" si="30"/>
        <v>36892.395833333241</v>
      </c>
      <c r="BU48" s="12" t="str">
        <f t="shared" ca="1" si="16"/>
        <v/>
      </c>
      <c r="BV48" s="12" t="str">
        <f t="shared" ca="1" si="17"/>
        <v/>
      </c>
      <c r="BW48" s="12" t="str">
        <f t="shared" ca="1" si="18"/>
        <v/>
      </c>
      <c r="CA48" s="15"/>
      <c r="CH48" s="15"/>
      <c r="CO48" s="15"/>
      <c r="CV48" s="15"/>
    </row>
    <row r="49" spans="35:100" ht="16.5" customHeight="1">
      <c r="AI49" s="15"/>
      <c r="AP49" s="12">
        <v>40</v>
      </c>
      <c r="AQ49" s="14">
        <f t="shared" si="26"/>
        <v>36892.406249999905</v>
      </c>
      <c r="AR49" s="12" cm="1">
        <f t="array" aca="1" ref="AR49" ca="1">INDIRECT(ADDRESS(2+$AP49,1+MATCH($AB$9,INDIRECT($AB$16&amp;"!$B$2:$R$2"),0),1,1,$AB$16))</f>
        <v>1</v>
      </c>
      <c r="AS49" s="12" cm="1">
        <f t="array" aca="1" ref="AS49" ca="1">INDIRECT(ADDRESS(2+$AP49,1+MATCH($AB$9,INDIRECT($AB$17&amp;"!$B$2:$R$2"),0),1,1,$AB$17))</f>
        <v>0</v>
      </c>
      <c r="AT49" s="12" cm="1">
        <f t="array" aca="1" ref="AT49" ca="1">INDIRECT(ADDRESS(2+$AP49,1+MATCH($AB$9,INDIRECT($AB$18&amp;"!$B$2:$R$2"),0),1,1,$AB$18))</f>
        <v>0</v>
      </c>
      <c r="AX49" s="12">
        <v>40</v>
      </c>
      <c r="AY49" s="14">
        <f t="shared" si="27"/>
        <v>36892.406249999905</v>
      </c>
      <c r="AZ49" s="12" t="str">
        <f t="shared" ca="1" si="7"/>
        <v/>
      </c>
      <c r="BA49" s="12" t="b">
        <f t="shared" ca="1" si="8"/>
        <v>1</v>
      </c>
      <c r="BB49" s="12" t="b">
        <f t="shared" ca="1" si="9"/>
        <v>1</v>
      </c>
      <c r="BE49" s="12">
        <v>40</v>
      </c>
      <c r="BF49" s="14">
        <f t="shared" si="28"/>
        <v>36892.406249999905</v>
      </c>
      <c r="BG49" s="12" t="b">
        <f t="shared" ca="1" si="10"/>
        <v>1</v>
      </c>
      <c r="BH49" s="12" t="str">
        <f t="shared" ca="1" si="11"/>
        <v/>
      </c>
      <c r="BI49" s="12" t="str">
        <f t="shared" ca="1" si="12"/>
        <v/>
      </c>
      <c r="BL49" s="12">
        <v>40</v>
      </c>
      <c r="BM49" s="14">
        <f t="shared" si="29"/>
        <v>36892.406249999905</v>
      </c>
      <c r="BN49" s="12" t="str">
        <f t="shared" ca="1" si="13"/>
        <v/>
      </c>
      <c r="BO49" s="12" t="str">
        <f t="shared" ca="1" si="14"/>
        <v/>
      </c>
      <c r="BP49" s="12" t="str">
        <f t="shared" ca="1" si="15"/>
        <v/>
      </c>
      <c r="BS49" s="12">
        <v>40</v>
      </c>
      <c r="BT49" s="14">
        <f t="shared" si="30"/>
        <v>36892.406249999905</v>
      </c>
      <c r="BU49" s="12" t="str">
        <f t="shared" ca="1" si="16"/>
        <v/>
      </c>
      <c r="BV49" s="12" t="str">
        <f t="shared" ca="1" si="17"/>
        <v/>
      </c>
      <c r="BW49" s="12" t="str">
        <f t="shared" ca="1" si="18"/>
        <v/>
      </c>
      <c r="CA49" s="15"/>
      <c r="CH49" s="15"/>
      <c r="CO49" s="15"/>
      <c r="CV49" s="15"/>
    </row>
    <row r="50" spans="35:100" ht="16.5" customHeight="1">
      <c r="AI50" s="15"/>
      <c r="AP50" s="12">
        <v>41</v>
      </c>
      <c r="AQ50" s="14">
        <f t="shared" si="26"/>
        <v>36892.41666666657</v>
      </c>
      <c r="AR50" s="12" cm="1">
        <f t="array" aca="1" ref="AR50" ca="1">INDIRECT(ADDRESS(2+$AP50,1+MATCH($AB$9,INDIRECT($AB$16&amp;"!$B$2:$R$2"),0),1,1,$AB$16))</f>
        <v>0</v>
      </c>
      <c r="AS50" s="12" cm="1">
        <f t="array" aca="1" ref="AS50" ca="1">INDIRECT(ADDRESS(2+$AP50,1+MATCH($AB$9,INDIRECT($AB$17&amp;"!$B$2:$R$2"),0),1,1,$AB$17))</f>
        <v>0</v>
      </c>
      <c r="AT50" s="12" cm="1">
        <f t="array" aca="1" ref="AT50" ca="1">INDIRECT(ADDRESS(2+$AP50,1+MATCH($AB$9,INDIRECT($AB$18&amp;"!$B$2:$R$2"),0),1,1,$AB$18))</f>
        <v>0</v>
      </c>
      <c r="AX50" s="12">
        <v>41</v>
      </c>
      <c r="AY50" s="14">
        <f t="shared" si="27"/>
        <v>36892.41666666657</v>
      </c>
      <c r="AZ50" s="12" t="b">
        <f t="shared" ca="1" si="7"/>
        <v>1</v>
      </c>
      <c r="BA50" s="12" t="b">
        <f t="shared" ca="1" si="8"/>
        <v>1</v>
      </c>
      <c r="BB50" s="12" t="b">
        <f t="shared" ca="1" si="9"/>
        <v>1</v>
      </c>
      <c r="BE50" s="12">
        <v>41</v>
      </c>
      <c r="BF50" s="14">
        <f t="shared" si="28"/>
        <v>36892.41666666657</v>
      </c>
      <c r="BG50" s="12" t="str">
        <f t="shared" ca="1" si="10"/>
        <v/>
      </c>
      <c r="BH50" s="12" t="str">
        <f t="shared" ca="1" si="11"/>
        <v/>
      </c>
      <c r="BI50" s="12" t="str">
        <f t="shared" ca="1" si="12"/>
        <v/>
      </c>
      <c r="BL50" s="12">
        <v>41</v>
      </c>
      <c r="BM50" s="14">
        <f t="shared" si="29"/>
        <v>36892.41666666657</v>
      </c>
      <c r="BN50" s="12" t="str">
        <f t="shared" ca="1" si="13"/>
        <v/>
      </c>
      <c r="BO50" s="12" t="str">
        <f t="shared" ca="1" si="14"/>
        <v/>
      </c>
      <c r="BP50" s="12" t="str">
        <f t="shared" ca="1" si="15"/>
        <v/>
      </c>
      <c r="BS50" s="12">
        <v>41</v>
      </c>
      <c r="BT50" s="14">
        <f t="shared" si="30"/>
        <v>36892.41666666657</v>
      </c>
      <c r="BU50" s="12" t="str">
        <f t="shared" ca="1" si="16"/>
        <v/>
      </c>
      <c r="BV50" s="12" t="str">
        <f t="shared" ca="1" si="17"/>
        <v/>
      </c>
      <c r="BW50" s="12" t="str">
        <f t="shared" ca="1" si="18"/>
        <v/>
      </c>
      <c r="CA50" s="15"/>
      <c r="CH50" s="15"/>
      <c r="CO50" s="15"/>
      <c r="CV50" s="15"/>
    </row>
    <row r="51" spans="35:100" ht="16.5" customHeight="1">
      <c r="AI51" s="15"/>
      <c r="AP51" s="12">
        <v>42</v>
      </c>
      <c r="AQ51" s="14">
        <f t="shared" si="26"/>
        <v>36892.427083333234</v>
      </c>
      <c r="AR51" s="12" cm="1">
        <f t="array" aca="1" ref="AR51" ca="1">INDIRECT(ADDRESS(2+$AP51,1+MATCH($AB$9,INDIRECT($AB$16&amp;"!$B$2:$R$2"),0),1,1,$AB$16))</f>
        <v>0</v>
      </c>
      <c r="AS51" s="12" cm="1">
        <f t="array" aca="1" ref="AS51" ca="1">INDIRECT(ADDRESS(2+$AP51,1+MATCH($AB$9,INDIRECT($AB$17&amp;"!$B$2:$R$2"),0),1,1,$AB$17))</f>
        <v>0</v>
      </c>
      <c r="AT51" s="12" cm="1">
        <f t="array" aca="1" ref="AT51" ca="1">INDIRECT(ADDRESS(2+$AP51,1+MATCH($AB$9,INDIRECT($AB$18&amp;"!$B$2:$R$2"),0),1,1,$AB$18))</f>
        <v>0</v>
      </c>
      <c r="AX51" s="12">
        <v>42</v>
      </c>
      <c r="AY51" s="14">
        <f t="shared" si="27"/>
        <v>36892.427083333234</v>
      </c>
      <c r="AZ51" s="12" t="b">
        <f t="shared" ca="1" si="7"/>
        <v>1</v>
      </c>
      <c r="BA51" s="12" t="b">
        <f t="shared" ca="1" si="8"/>
        <v>1</v>
      </c>
      <c r="BB51" s="12" t="b">
        <f t="shared" ca="1" si="9"/>
        <v>1</v>
      </c>
      <c r="BE51" s="12">
        <v>42</v>
      </c>
      <c r="BF51" s="14">
        <f t="shared" si="28"/>
        <v>36892.427083333234</v>
      </c>
      <c r="BG51" s="12" t="str">
        <f t="shared" ca="1" si="10"/>
        <v/>
      </c>
      <c r="BH51" s="12" t="str">
        <f t="shared" ca="1" si="11"/>
        <v/>
      </c>
      <c r="BI51" s="12" t="str">
        <f t="shared" ca="1" si="12"/>
        <v/>
      </c>
      <c r="BL51" s="12">
        <v>42</v>
      </c>
      <c r="BM51" s="14">
        <f t="shared" si="29"/>
        <v>36892.427083333234</v>
      </c>
      <c r="BN51" s="12" t="str">
        <f t="shared" ca="1" si="13"/>
        <v/>
      </c>
      <c r="BO51" s="12" t="str">
        <f t="shared" ca="1" si="14"/>
        <v/>
      </c>
      <c r="BP51" s="12" t="str">
        <f t="shared" ca="1" si="15"/>
        <v/>
      </c>
      <c r="BS51" s="12">
        <v>42</v>
      </c>
      <c r="BT51" s="14">
        <f t="shared" si="30"/>
        <v>36892.427083333234</v>
      </c>
      <c r="BU51" s="12" t="str">
        <f t="shared" ca="1" si="16"/>
        <v/>
      </c>
      <c r="BV51" s="12" t="str">
        <f t="shared" ca="1" si="17"/>
        <v/>
      </c>
      <c r="BW51" s="12" t="str">
        <f t="shared" ca="1" si="18"/>
        <v/>
      </c>
      <c r="CA51" s="15"/>
      <c r="CH51" s="15"/>
      <c r="CO51" s="15"/>
      <c r="CV51" s="15"/>
    </row>
    <row r="52" spans="35:100" ht="16.5" customHeight="1">
      <c r="AI52" s="15"/>
      <c r="AP52" s="12">
        <v>43</v>
      </c>
      <c r="AQ52" s="14">
        <f t="shared" si="26"/>
        <v>36892.437499999898</v>
      </c>
      <c r="AR52" s="12" cm="1">
        <f t="array" aca="1" ref="AR52" ca="1">INDIRECT(ADDRESS(2+$AP52,1+MATCH($AB$9,INDIRECT($AB$16&amp;"!$B$2:$R$2"),0),1,1,$AB$16))</f>
        <v>0</v>
      </c>
      <c r="AS52" s="12" cm="1">
        <f t="array" aca="1" ref="AS52" ca="1">INDIRECT(ADDRESS(2+$AP52,1+MATCH($AB$9,INDIRECT($AB$17&amp;"!$B$2:$R$2"),0),1,1,$AB$17))</f>
        <v>0</v>
      </c>
      <c r="AT52" s="12" cm="1">
        <f t="array" aca="1" ref="AT52" ca="1">INDIRECT(ADDRESS(2+$AP52,1+MATCH($AB$9,INDIRECT($AB$18&amp;"!$B$2:$R$2"),0),1,1,$AB$18))</f>
        <v>0</v>
      </c>
      <c r="AX52" s="12">
        <v>43</v>
      </c>
      <c r="AY52" s="14">
        <f t="shared" si="27"/>
        <v>36892.437499999898</v>
      </c>
      <c r="AZ52" s="12" t="b">
        <f t="shared" ca="1" si="7"/>
        <v>1</v>
      </c>
      <c r="BA52" s="12" t="b">
        <f t="shared" ca="1" si="8"/>
        <v>1</v>
      </c>
      <c r="BB52" s="12" t="b">
        <f t="shared" ca="1" si="9"/>
        <v>1</v>
      </c>
      <c r="BE52" s="12">
        <v>43</v>
      </c>
      <c r="BF52" s="14">
        <f t="shared" si="28"/>
        <v>36892.437499999898</v>
      </c>
      <c r="BG52" s="12" t="str">
        <f t="shared" ca="1" si="10"/>
        <v/>
      </c>
      <c r="BH52" s="12" t="str">
        <f t="shared" ca="1" si="11"/>
        <v/>
      </c>
      <c r="BI52" s="12" t="str">
        <f t="shared" ca="1" si="12"/>
        <v/>
      </c>
      <c r="BL52" s="12">
        <v>43</v>
      </c>
      <c r="BM52" s="14">
        <f t="shared" si="29"/>
        <v>36892.437499999898</v>
      </c>
      <c r="BN52" s="12" t="str">
        <f t="shared" ca="1" si="13"/>
        <v/>
      </c>
      <c r="BO52" s="12" t="str">
        <f t="shared" ca="1" si="14"/>
        <v/>
      </c>
      <c r="BP52" s="12" t="str">
        <f t="shared" ca="1" si="15"/>
        <v/>
      </c>
      <c r="BS52" s="12">
        <v>43</v>
      </c>
      <c r="BT52" s="14">
        <f t="shared" si="30"/>
        <v>36892.437499999898</v>
      </c>
      <c r="BU52" s="12" t="str">
        <f t="shared" ca="1" si="16"/>
        <v/>
      </c>
      <c r="BV52" s="12" t="str">
        <f t="shared" ca="1" si="17"/>
        <v/>
      </c>
      <c r="BW52" s="12" t="str">
        <f t="shared" ca="1" si="18"/>
        <v/>
      </c>
      <c r="CA52" s="15"/>
      <c r="CH52" s="15"/>
      <c r="CO52" s="15"/>
      <c r="CV52" s="15"/>
    </row>
    <row r="53" spans="35:100" ht="16.5" customHeight="1">
      <c r="AI53" s="15"/>
      <c r="AP53" s="12">
        <v>44</v>
      </c>
      <c r="AQ53" s="14">
        <f t="shared" si="26"/>
        <v>36892.447916666562</v>
      </c>
      <c r="AR53" s="12" cm="1">
        <f t="array" aca="1" ref="AR53" ca="1">INDIRECT(ADDRESS(2+$AP53,1+MATCH($AB$9,INDIRECT($AB$16&amp;"!$B$2:$R$2"),0),1,1,$AB$16))</f>
        <v>0</v>
      </c>
      <c r="AS53" s="12" cm="1">
        <f t="array" aca="1" ref="AS53" ca="1">INDIRECT(ADDRESS(2+$AP53,1+MATCH($AB$9,INDIRECT($AB$17&amp;"!$B$2:$R$2"),0),1,1,$AB$17))</f>
        <v>0</v>
      </c>
      <c r="AT53" s="12" cm="1">
        <f t="array" aca="1" ref="AT53" ca="1">INDIRECT(ADDRESS(2+$AP53,1+MATCH($AB$9,INDIRECT($AB$18&amp;"!$B$2:$R$2"),0),1,1,$AB$18))</f>
        <v>0</v>
      </c>
      <c r="AX53" s="12">
        <v>44</v>
      </c>
      <c r="AY53" s="14">
        <f t="shared" si="27"/>
        <v>36892.447916666562</v>
      </c>
      <c r="AZ53" s="12" t="b">
        <f t="shared" ca="1" si="7"/>
        <v>1</v>
      </c>
      <c r="BA53" s="12" t="b">
        <f t="shared" ca="1" si="8"/>
        <v>1</v>
      </c>
      <c r="BB53" s="12" t="b">
        <f t="shared" ca="1" si="9"/>
        <v>1</v>
      </c>
      <c r="BE53" s="12">
        <v>44</v>
      </c>
      <c r="BF53" s="14">
        <f t="shared" si="28"/>
        <v>36892.447916666562</v>
      </c>
      <c r="BG53" s="12" t="str">
        <f t="shared" ca="1" si="10"/>
        <v/>
      </c>
      <c r="BH53" s="12" t="str">
        <f t="shared" ca="1" si="11"/>
        <v/>
      </c>
      <c r="BI53" s="12" t="str">
        <f t="shared" ca="1" si="12"/>
        <v/>
      </c>
      <c r="BL53" s="12">
        <v>44</v>
      </c>
      <c r="BM53" s="14">
        <f t="shared" si="29"/>
        <v>36892.447916666562</v>
      </c>
      <c r="BN53" s="12" t="str">
        <f t="shared" ca="1" si="13"/>
        <v/>
      </c>
      <c r="BO53" s="12" t="str">
        <f t="shared" ca="1" si="14"/>
        <v/>
      </c>
      <c r="BP53" s="12" t="str">
        <f t="shared" ca="1" si="15"/>
        <v/>
      </c>
      <c r="BS53" s="12">
        <v>44</v>
      </c>
      <c r="BT53" s="14">
        <f t="shared" si="30"/>
        <v>36892.447916666562</v>
      </c>
      <c r="BU53" s="12" t="str">
        <f t="shared" ca="1" si="16"/>
        <v/>
      </c>
      <c r="BV53" s="12" t="str">
        <f t="shared" ca="1" si="17"/>
        <v/>
      </c>
      <c r="BW53" s="12" t="str">
        <f t="shared" ca="1" si="18"/>
        <v/>
      </c>
      <c r="CA53" s="15"/>
      <c r="CH53" s="15"/>
      <c r="CO53" s="15"/>
      <c r="CV53" s="15"/>
    </row>
    <row r="54" spans="35:100" ht="16.5" customHeight="1">
      <c r="AI54" s="15"/>
      <c r="AP54" s="12">
        <v>45</v>
      </c>
      <c r="AQ54" s="14">
        <f t="shared" si="26"/>
        <v>36892.458333333227</v>
      </c>
      <c r="AR54" s="12" cm="1">
        <f t="array" aca="1" ref="AR54" ca="1">INDIRECT(ADDRESS(2+$AP54,1+MATCH($AB$9,INDIRECT($AB$16&amp;"!$B$2:$R$2"),0),1,1,$AB$16))</f>
        <v>0</v>
      </c>
      <c r="AS54" s="12" cm="1">
        <f t="array" aca="1" ref="AS54" ca="1">INDIRECT(ADDRESS(2+$AP54,1+MATCH($AB$9,INDIRECT($AB$17&amp;"!$B$2:$R$2"),0),1,1,$AB$17))</f>
        <v>0</v>
      </c>
      <c r="AT54" s="12" cm="1">
        <f t="array" aca="1" ref="AT54" ca="1">INDIRECT(ADDRESS(2+$AP54,1+MATCH($AB$9,INDIRECT($AB$18&amp;"!$B$2:$R$2"),0),1,1,$AB$18))</f>
        <v>0</v>
      </c>
      <c r="AX54" s="12">
        <v>45</v>
      </c>
      <c r="AY54" s="14">
        <f t="shared" si="27"/>
        <v>36892.458333333227</v>
      </c>
      <c r="AZ54" s="12" t="b">
        <f t="shared" ca="1" si="7"/>
        <v>1</v>
      </c>
      <c r="BA54" s="12" t="b">
        <f t="shared" ca="1" si="8"/>
        <v>1</v>
      </c>
      <c r="BB54" s="12" t="b">
        <f t="shared" ca="1" si="9"/>
        <v>1</v>
      </c>
      <c r="BE54" s="12">
        <v>45</v>
      </c>
      <c r="BF54" s="14">
        <f t="shared" si="28"/>
        <v>36892.458333333227</v>
      </c>
      <c r="BG54" s="12" t="str">
        <f t="shared" ca="1" si="10"/>
        <v/>
      </c>
      <c r="BH54" s="12" t="str">
        <f t="shared" ca="1" si="11"/>
        <v/>
      </c>
      <c r="BI54" s="12" t="str">
        <f t="shared" ca="1" si="12"/>
        <v/>
      </c>
      <c r="BL54" s="12">
        <v>45</v>
      </c>
      <c r="BM54" s="14">
        <f t="shared" si="29"/>
        <v>36892.458333333227</v>
      </c>
      <c r="BN54" s="12" t="str">
        <f t="shared" ca="1" si="13"/>
        <v/>
      </c>
      <c r="BO54" s="12" t="str">
        <f t="shared" ca="1" si="14"/>
        <v/>
      </c>
      <c r="BP54" s="12" t="str">
        <f t="shared" ca="1" si="15"/>
        <v/>
      </c>
      <c r="BS54" s="12">
        <v>45</v>
      </c>
      <c r="BT54" s="14">
        <f t="shared" si="30"/>
        <v>36892.458333333227</v>
      </c>
      <c r="BU54" s="12" t="str">
        <f t="shared" ca="1" si="16"/>
        <v/>
      </c>
      <c r="BV54" s="12" t="str">
        <f t="shared" ca="1" si="17"/>
        <v/>
      </c>
      <c r="BW54" s="12" t="str">
        <f t="shared" ca="1" si="18"/>
        <v/>
      </c>
      <c r="CA54" s="15"/>
      <c r="CH54" s="15"/>
      <c r="CO54" s="15"/>
      <c r="CV54" s="15"/>
    </row>
    <row r="55" spans="35:100" ht="16.5" customHeight="1">
      <c r="AI55" s="15"/>
      <c r="AP55" s="12">
        <v>46</v>
      </c>
      <c r="AQ55" s="14">
        <f t="shared" si="26"/>
        <v>36892.468749999891</v>
      </c>
      <c r="AR55" s="12" cm="1">
        <f t="array" aca="1" ref="AR55" ca="1">INDIRECT(ADDRESS(2+$AP55,1+MATCH($AB$9,INDIRECT($AB$16&amp;"!$B$2:$R$2"),0),1,1,$AB$16))</f>
        <v>0</v>
      </c>
      <c r="AS55" s="12" cm="1">
        <f t="array" aca="1" ref="AS55" ca="1">INDIRECT(ADDRESS(2+$AP55,1+MATCH($AB$9,INDIRECT($AB$17&amp;"!$B$2:$R$2"),0),1,1,$AB$17))</f>
        <v>0</v>
      </c>
      <c r="AT55" s="12" cm="1">
        <f t="array" aca="1" ref="AT55" ca="1">INDIRECT(ADDRESS(2+$AP55,1+MATCH($AB$9,INDIRECT($AB$18&amp;"!$B$2:$R$2"),0),1,1,$AB$18))</f>
        <v>0</v>
      </c>
      <c r="AX55" s="12">
        <v>46</v>
      </c>
      <c r="AY55" s="14">
        <f t="shared" si="27"/>
        <v>36892.468749999891</v>
      </c>
      <c r="AZ55" s="12" t="b">
        <f t="shared" ca="1" si="7"/>
        <v>1</v>
      </c>
      <c r="BA55" s="12" t="b">
        <f t="shared" ca="1" si="8"/>
        <v>1</v>
      </c>
      <c r="BB55" s="12" t="b">
        <f t="shared" ca="1" si="9"/>
        <v>1</v>
      </c>
      <c r="BE55" s="12">
        <v>46</v>
      </c>
      <c r="BF55" s="14">
        <f t="shared" si="28"/>
        <v>36892.468749999891</v>
      </c>
      <c r="BG55" s="12" t="str">
        <f t="shared" ca="1" si="10"/>
        <v/>
      </c>
      <c r="BH55" s="12" t="str">
        <f t="shared" ca="1" si="11"/>
        <v/>
      </c>
      <c r="BI55" s="12" t="str">
        <f t="shared" ca="1" si="12"/>
        <v/>
      </c>
      <c r="BL55" s="12">
        <v>46</v>
      </c>
      <c r="BM55" s="14">
        <f t="shared" si="29"/>
        <v>36892.468749999891</v>
      </c>
      <c r="BN55" s="12" t="str">
        <f t="shared" ca="1" si="13"/>
        <v/>
      </c>
      <c r="BO55" s="12" t="str">
        <f t="shared" ca="1" si="14"/>
        <v/>
      </c>
      <c r="BP55" s="12" t="str">
        <f t="shared" ca="1" si="15"/>
        <v/>
      </c>
      <c r="BS55" s="12">
        <v>46</v>
      </c>
      <c r="BT55" s="14">
        <f t="shared" si="30"/>
        <v>36892.468749999891</v>
      </c>
      <c r="BU55" s="12" t="str">
        <f t="shared" ca="1" si="16"/>
        <v/>
      </c>
      <c r="BV55" s="12" t="str">
        <f t="shared" ca="1" si="17"/>
        <v/>
      </c>
      <c r="BW55" s="12" t="str">
        <f t="shared" ca="1" si="18"/>
        <v/>
      </c>
      <c r="CA55" s="15"/>
      <c r="CH55" s="15"/>
      <c r="CO55" s="15"/>
      <c r="CV55" s="15"/>
    </row>
    <row r="56" spans="35:100" ht="16.5" customHeight="1">
      <c r="AI56" s="15"/>
      <c r="AP56" s="12">
        <v>47</v>
      </c>
      <c r="AQ56" s="14">
        <f t="shared" si="26"/>
        <v>36892.479166666555</v>
      </c>
      <c r="AR56" s="12" cm="1">
        <f t="array" aca="1" ref="AR56" ca="1">INDIRECT(ADDRESS(2+$AP56,1+MATCH($AB$9,INDIRECT($AB$16&amp;"!$B$2:$R$2"),0),1,1,$AB$16))</f>
        <v>0</v>
      </c>
      <c r="AS56" s="12" cm="1">
        <f t="array" aca="1" ref="AS56" ca="1">INDIRECT(ADDRESS(2+$AP56,1+MATCH($AB$9,INDIRECT($AB$17&amp;"!$B$2:$R$2"),0),1,1,$AB$17))</f>
        <v>0</v>
      </c>
      <c r="AT56" s="12" cm="1">
        <f t="array" aca="1" ref="AT56" ca="1">INDIRECT(ADDRESS(2+$AP56,1+MATCH($AB$9,INDIRECT($AB$18&amp;"!$B$2:$R$2"),0),1,1,$AB$18))</f>
        <v>0</v>
      </c>
      <c r="AX56" s="12">
        <v>47</v>
      </c>
      <c r="AY56" s="14">
        <f t="shared" si="27"/>
        <v>36892.479166666555</v>
      </c>
      <c r="AZ56" s="12" t="b">
        <f t="shared" ca="1" si="7"/>
        <v>1</v>
      </c>
      <c r="BA56" s="12" t="b">
        <f t="shared" ca="1" si="8"/>
        <v>1</v>
      </c>
      <c r="BB56" s="12" t="b">
        <f t="shared" ca="1" si="9"/>
        <v>1</v>
      </c>
      <c r="BE56" s="12">
        <v>47</v>
      </c>
      <c r="BF56" s="14">
        <f t="shared" si="28"/>
        <v>36892.479166666555</v>
      </c>
      <c r="BG56" s="12" t="str">
        <f t="shared" ca="1" si="10"/>
        <v/>
      </c>
      <c r="BH56" s="12" t="str">
        <f t="shared" ca="1" si="11"/>
        <v/>
      </c>
      <c r="BI56" s="12" t="str">
        <f t="shared" ca="1" si="12"/>
        <v/>
      </c>
      <c r="BL56" s="12">
        <v>47</v>
      </c>
      <c r="BM56" s="14">
        <f t="shared" si="29"/>
        <v>36892.479166666555</v>
      </c>
      <c r="BN56" s="12" t="str">
        <f t="shared" ca="1" si="13"/>
        <v/>
      </c>
      <c r="BO56" s="12" t="str">
        <f t="shared" ca="1" si="14"/>
        <v/>
      </c>
      <c r="BP56" s="12" t="str">
        <f t="shared" ca="1" si="15"/>
        <v/>
      </c>
      <c r="BS56" s="12">
        <v>47</v>
      </c>
      <c r="BT56" s="14">
        <f t="shared" si="30"/>
        <v>36892.479166666555</v>
      </c>
      <c r="BU56" s="12" t="str">
        <f t="shared" ca="1" si="16"/>
        <v/>
      </c>
      <c r="BV56" s="12" t="str">
        <f t="shared" ca="1" si="17"/>
        <v/>
      </c>
      <c r="BW56" s="12" t="str">
        <f t="shared" ca="1" si="18"/>
        <v/>
      </c>
      <c r="CA56" s="15"/>
      <c r="CH56" s="15"/>
      <c r="CO56" s="15"/>
      <c r="CV56" s="15"/>
    </row>
    <row r="57" spans="35:100" ht="16.5" customHeight="1">
      <c r="AI57" s="15"/>
      <c r="AP57" s="12">
        <v>48</v>
      </c>
      <c r="AQ57" s="14">
        <f t="shared" si="26"/>
        <v>36892.489583333219</v>
      </c>
      <c r="AR57" s="12" cm="1">
        <f t="array" aca="1" ref="AR57" ca="1">INDIRECT(ADDRESS(2+$AP57,1+MATCH($AB$9,INDIRECT($AB$16&amp;"!$B$2:$R$2"),0),1,1,$AB$16))</f>
        <v>0</v>
      </c>
      <c r="AS57" s="12" cm="1">
        <f t="array" aca="1" ref="AS57" ca="1">INDIRECT(ADDRESS(2+$AP57,1+MATCH($AB$9,INDIRECT($AB$17&amp;"!$B$2:$R$2"),0),1,1,$AB$17))</f>
        <v>0</v>
      </c>
      <c r="AT57" s="12" cm="1">
        <f t="array" aca="1" ref="AT57" ca="1">INDIRECT(ADDRESS(2+$AP57,1+MATCH($AB$9,INDIRECT($AB$18&amp;"!$B$2:$R$2"),0),1,1,$AB$18))</f>
        <v>0</v>
      </c>
      <c r="AX57" s="12">
        <v>48</v>
      </c>
      <c r="AY57" s="14">
        <f t="shared" si="27"/>
        <v>36892.489583333219</v>
      </c>
      <c r="AZ57" s="12" t="b">
        <f t="shared" ca="1" si="7"/>
        <v>1</v>
      </c>
      <c r="BA57" s="12" t="b">
        <f t="shared" ca="1" si="8"/>
        <v>1</v>
      </c>
      <c r="BB57" s="12" t="b">
        <f t="shared" ca="1" si="9"/>
        <v>1</v>
      </c>
      <c r="BE57" s="12">
        <v>48</v>
      </c>
      <c r="BF57" s="14">
        <f t="shared" si="28"/>
        <v>36892.489583333219</v>
      </c>
      <c r="BG57" s="12" t="str">
        <f t="shared" ca="1" si="10"/>
        <v/>
      </c>
      <c r="BH57" s="12" t="str">
        <f t="shared" ca="1" si="11"/>
        <v/>
      </c>
      <c r="BI57" s="12" t="str">
        <f t="shared" ca="1" si="12"/>
        <v/>
      </c>
      <c r="BL57" s="12">
        <v>48</v>
      </c>
      <c r="BM57" s="14">
        <f t="shared" si="29"/>
        <v>36892.489583333219</v>
      </c>
      <c r="BN57" s="12" t="str">
        <f t="shared" ca="1" si="13"/>
        <v/>
      </c>
      <c r="BO57" s="12" t="str">
        <f t="shared" ca="1" si="14"/>
        <v/>
      </c>
      <c r="BP57" s="12" t="str">
        <f t="shared" ca="1" si="15"/>
        <v/>
      </c>
      <c r="BS57" s="12">
        <v>48</v>
      </c>
      <c r="BT57" s="14">
        <f t="shared" si="30"/>
        <v>36892.489583333219</v>
      </c>
      <c r="BU57" s="12" t="str">
        <f t="shared" ca="1" si="16"/>
        <v/>
      </c>
      <c r="BV57" s="12" t="str">
        <f t="shared" ca="1" si="17"/>
        <v/>
      </c>
      <c r="BW57" s="12" t="str">
        <f t="shared" ca="1" si="18"/>
        <v/>
      </c>
      <c r="CA57" s="15"/>
      <c r="CH57" s="15"/>
      <c r="CO57" s="15"/>
      <c r="CV57" s="15"/>
    </row>
    <row r="58" spans="35:100" ht="16.5" customHeight="1">
      <c r="AI58" s="15"/>
      <c r="AP58" s="12">
        <v>49</v>
      </c>
      <c r="AQ58" s="14">
        <f t="shared" si="26"/>
        <v>36892.499999999884</v>
      </c>
      <c r="AR58" s="12" cm="1">
        <f t="array" aca="1" ref="AR58" ca="1">INDIRECT(ADDRESS(2+$AP58,1+MATCH($AB$9,INDIRECT($AB$16&amp;"!$B$2:$R$2"),0),1,1,$AB$16))</f>
        <v>0</v>
      </c>
      <c r="AS58" s="12" cm="1">
        <f t="array" aca="1" ref="AS58" ca="1">INDIRECT(ADDRESS(2+$AP58,1+MATCH($AB$9,INDIRECT($AB$17&amp;"!$B$2:$R$2"),0),1,1,$AB$17))</f>
        <v>0</v>
      </c>
      <c r="AT58" s="12" cm="1">
        <f t="array" aca="1" ref="AT58" ca="1">INDIRECT(ADDRESS(2+$AP58,1+MATCH($AB$9,INDIRECT($AB$18&amp;"!$B$2:$R$2"),0),1,1,$AB$18))</f>
        <v>0</v>
      </c>
      <c r="AX58" s="12">
        <v>49</v>
      </c>
      <c r="AY58" s="14">
        <f t="shared" si="27"/>
        <v>36892.499999999884</v>
      </c>
      <c r="AZ58" s="12" t="b">
        <f t="shared" ca="1" si="7"/>
        <v>1</v>
      </c>
      <c r="BA58" s="12" t="b">
        <f t="shared" ca="1" si="8"/>
        <v>1</v>
      </c>
      <c r="BB58" s="12" t="b">
        <f t="shared" ca="1" si="9"/>
        <v>1</v>
      </c>
      <c r="BE58" s="12">
        <v>49</v>
      </c>
      <c r="BF58" s="14">
        <f t="shared" si="28"/>
        <v>36892.499999999884</v>
      </c>
      <c r="BG58" s="12" t="str">
        <f t="shared" ca="1" si="10"/>
        <v/>
      </c>
      <c r="BH58" s="12" t="str">
        <f t="shared" ca="1" si="11"/>
        <v/>
      </c>
      <c r="BI58" s="12" t="str">
        <f t="shared" ca="1" si="12"/>
        <v/>
      </c>
      <c r="BL58" s="12">
        <v>49</v>
      </c>
      <c r="BM58" s="14">
        <f t="shared" si="29"/>
        <v>36892.499999999884</v>
      </c>
      <c r="BN58" s="12" t="str">
        <f t="shared" ca="1" si="13"/>
        <v/>
      </c>
      <c r="BO58" s="12" t="str">
        <f t="shared" ca="1" si="14"/>
        <v/>
      </c>
      <c r="BP58" s="12" t="str">
        <f t="shared" ca="1" si="15"/>
        <v/>
      </c>
      <c r="BS58" s="12">
        <v>49</v>
      </c>
      <c r="BT58" s="14">
        <f t="shared" si="30"/>
        <v>36892.499999999884</v>
      </c>
      <c r="BU58" s="12" t="str">
        <f t="shared" ca="1" si="16"/>
        <v/>
      </c>
      <c r="BV58" s="12" t="str">
        <f t="shared" ca="1" si="17"/>
        <v/>
      </c>
      <c r="BW58" s="12" t="str">
        <f t="shared" ca="1" si="18"/>
        <v/>
      </c>
      <c r="CA58" s="15"/>
      <c r="CH58" s="15"/>
      <c r="CO58" s="15"/>
      <c r="CV58" s="15"/>
    </row>
    <row r="59" spans="35:100" ht="16.5" customHeight="1">
      <c r="AI59" s="15"/>
      <c r="AP59" s="12">
        <v>50</v>
      </c>
      <c r="AQ59" s="14">
        <f t="shared" si="26"/>
        <v>36892.510416666548</v>
      </c>
      <c r="AR59" s="12" cm="1">
        <f t="array" aca="1" ref="AR59" ca="1">INDIRECT(ADDRESS(2+$AP59,1+MATCH($AB$9,INDIRECT($AB$16&amp;"!$B$2:$R$2"),0),1,1,$AB$16))</f>
        <v>0</v>
      </c>
      <c r="AS59" s="12" cm="1">
        <f t="array" aca="1" ref="AS59" ca="1">INDIRECT(ADDRESS(2+$AP59,1+MATCH($AB$9,INDIRECT($AB$17&amp;"!$B$2:$R$2"),0),1,1,$AB$17))</f>
        <v>0</v>
      </c>
      <c r="AT59" s="12" cm="1">
        <f t="array" aca="1" ref="AT59" ca="1">INDIRECT(ADDRESS(2+$AP59,1+MATCH($AB$9,INDIRECT($AB$18&amp;"!$B$2:$R$2"),0),1,1,$AB$18))</f>
        <v>0</v>
      </c>
      <c r="AX59" s="12">
        <v>50</v>
      </c>
      <c r="AY59" s="14">
        <f t="shared" si="27"/>
        <v>36892.510416666548</v>
      </c>
      <c r="AZ59" s="12" t="b">
        <f t="shared" ca="1" si="7"/>
        <v>1</v>
      </c>
      <c r="BA59" s="12" t="b">
        <f t="shared" ca="1" si="8"/>
        <v>1</v>
      </c>
      <c r="BB59" s="12" t="b">
        <f t="shared" ca="1" si="9"/>
        <v>1</v>
      </c>
      <c r="BE59" s="12">
        <v>50</v>
      </c>
      <c r="BF59" s="14">
        <f t="shared" si="28"/>
        <v>36892.510416666548</v>
      </c>
      <c r="BG59" s="12" t="str">
        <f t="shared" ca="1" si="10"/>
        <v/>
      </c>
      <c r="BH59" s="12" t="str">
        <f t="shared" ca="1" si="11"/>
        <v/>
      </c>
      <c r="BI59" s="12" t="str">
        <f t="shared" ca="1" si="12"/>
        <v/>
      </c>
      <c r="BL59" s="12">
        <v>50</v>
      </c>
      <c r="BM59" s="14">
        <f t="shared" si="29"/>
        <v>36892.510416666548</v>
      </c>
      <c r="BN59" s="12" t="str">
        <f t="shared" ca="1" si="13"/>
        <v/>
      </c>
      <c r="BO59" s="12" t="str">
        <f t="shared" ca="1" si="14"/>
        <v/>
      </c>
      <c r="BP59" s="12" t="str">
        <f t="shared" ca="1" si="15"/>
        <v/>
      </c>
      <c r="BS59" s="12">
        <v>50</v>
      </c>
      <c r="BT59" s="14">
        <f t="shared" si="30"/>
        <v>36892.510416666548</v>
      </c>
      <c r="BU59" s="12" t="str">
        <f t="shared" ca="1" si="16"/>
        <v/>
      </c>
      <c r="BV59" s="12" t="str">
        <f t="shared" ca="1" si="17"/>
        <v/>
      </c>
      <c r="BW59" s="12" t="str">
        <f t="shared" ca="1" si="18"/>
        <v/>
      </c>
      <c r="CA59" s="15"/>
      <c r="CH59" s="15"/>
      <c r="CO59" s="15"/>
      <c r="CV59" s="15"/>
    </row>
    <row r="60" spans="35:100" ht="16.5" customHeight="1">
      <c r="AI60" s="15"/>
      <c r="AP60" s="12">
        <v>51</v>
      </c>
      <c r="AQ60" s="14">
        <f t="shared" si="26"/>
        <v>36892.520833333212</v>
      </c>
      <c r="AR60" s="12" cm="1">
        <f t="array" aca="1" ref="AR60" ca="1">INDIRECT(ADDRESS(2+$AP60,1+MATCH($AB$9,INDIRECT($AB$16&amp;"!$B$2:$R$2"),0),1,1,$AB$16))</f>
        <v>0</v>
      </c>
      <c r="AS60" s="12" cm="1">
        <f t="array" aca="1" ref="AS60" ca="1">INDIRECT(ADDRESS(2+$AP60,1+MATCH($AB$9,INDIRECT($AB$17&amp;"!$B$2:$R$2"),0),1,1,$AB$17))</f>
        <v>0</v>
      </c>
      <c r="AT60" s="12" cm="1">
        <f t="array" aca="1" ref="AT60" ca="1">INDIRECT(ADDRESS(2+$AP60,1+MATCH($AB$9,INDIRECT($AB$18&amp;"!$B$2:$R$2"),0),1,1,$AB$18))</f>
        <v>0</v>
      </c>
      <c r="AX60" s="12">
        <v>51</v>
      </c>
      <c r="AY60" s="14">
        <f t="shared" si="27"/>
        <v>36892.520833333212</v>
      </c>
      <c r="AZ60" s="12" t="b">
        <f t="shared" ca="1" si="7"/>
        <v>1</v>
      </c>
      <c r="BA60" s="12" t="b">
        <f t="shared" ca="1" si="8"/>
        <v>1</v>
      </c>
      <c r="BB60" s="12" t="b">
        <f t="shared" ca="1" si="9"/>
        <v>1</v>
      </c>
      <c r="BE60" s="12">
        <v>51</v>
      </c>
      <c r="BF60" s="14">
        <f t="shared" si="28"/>
        <v>36892.520833333212</v>
      </c>
      <c r="BG60" s="12" t="str">
        <f t="shared" ca="1" si="10"/>
        <v/>
      </c>
      <c r="BH60" s="12" t="str">
        <f t="shared" ca="1" si="11"/>
        <v/>
      </c>
      <c r="BI60" s="12" t="str">
        <f t="shared" ca="1" si="12"/>
        <v/>
      </c>
      <c r="BL60" s="12">
        <v>51</v>
      </c>
      <c r="BM60" s="14">
        <f t="shared" si="29"/>
        <v>36892.520833333212</v>
      </c>
      <c r="BN60" s="12" t="str">
        <f t="shared" ca="1" si="13"/>
        <v/>
      </c>
      <c r="BO60" s="12" t="str">
        <f t="shared" ca="1" si="14"/>
        <v/>
      </c>
      <c r="BP60" s="12" t="str">
        <f t="shared" ca="1" si="15"/>
        <v/>
      </c>
      <c r="BS60" s="12">
        <v>51</v>
      </c>
      <c r="BT60" s="14">
        <f t="shared" si="30"/>
        <v>36892.520833333212</v>
      </c>
      <c r="BU60" s="12" t="str">
        <f t="shared" ca="1" si="16"/>
        <v/>
      </c>
      <c r="BV60" s="12" t="str">
        <f t="shared" ca="1" si="17"/>
        <v/>
      </c>
      <c r="BW60" s="12" t="str">
        <f t="shared" ca="1" si="18"/>
        <v/>
      </c>
      <c r="CA60" s="15"/>
      <c r="CH60" s="15"/>
      <c r="CO60" s="15"/>
      <c r="CV60" s="15"/>
    </row>
    <row r="61" spans="35:100" ht="16.5" customHeight="1">
      <c r="AI61" s="15"/>
      <c r="AP61" s="12">
        <v>52</v>
      </c>
      <c r="AQ61" s="14">
        <f t="shared" si="26"/>
        <v>36892.531249999876</v>
      </c>
      <c r="AR61" s="12" cm="1">
        <f t="array" aca="1" ref="AR61" ca="1">INDIRECT(ADDRESS(2+$AP61,1+MATCH($AB$9,INDIRECT($AB$16&amp;"!$B$2:$R$2"),0),1,1,$AB$16))</f>
        <v>0</v>
      </c>
      <c r="AS61" s="12" cm="1">
        <f t="array" aca="1" ref="AS61" ca="1">INDIRECT(ADDRESS(2+$AP61,1+MATCH($AB$9,INDIRECT($AB$17&amp;"!$B$2:$R$2"),0),1,1,$AB$17))</f>
        <v>0</v>
      </c>
      <c r="AT61" s="12" cm="1">
        <f t="array" aca="1" ref="AT61" ca="1">INDIRECT(ADDRESS(2+$AP61,1+MATCH($AB$9,INDIRECT($AB$18&amp;"!$B$2:$R$2"),0),1,1,$AB$18))</f>
        <v>0</v>
      </c>
      <c r="AX61" s="12">
        <v>52</v>
      </c>
      <c r="AY61" s="14">
        <f t="shared" si="27"/>
        <v>36892.531249999876</v>
      </c>
      <c r="AZ61" s="12" t="b">
        <f t="shared" ca="1" si="7"/>
        <v>1</v>
      </c>
      <c r="BA61" s="12" t="b">
        <f t="shared" ca="1" si="8"/>
        <v>1</v>
      </c>
      <c r="BB61" s="12" t="b">
        <f t="shared" ca="1" si="9"/>
        <v>1</v>
      </c>
      <c r="BE61" s="12">
        <v>52</v>
      </c>
      <c r="BF61" s="14">
        <f t="shared" si="28"/>
        <v>36892.531249999876</v>
      </c>
      <c r="BG61" s="12" t="str">
        <f t="shared" ca="1" si="10"/>
        <v/>
      </c>
      <c r="BH61" s="12" t="str">
        <f t="shared" ca="1" si="11"/>
        <v/>
      </c>
      <c r="BI61" s="12" t="str">
        <f t="shared" ca="1" si="12"/>
        <v/>
      </c>
      <c r="BL61" s="12">
        <v>52</v>
      </c>
      <c r="BM61" s="14">
        <f t="shared" si="29"/>
        <v>36892.531249999876</v>
      </c>
      <c r="BN61" s="12" t="str">
        <f t="shared" ca="1" si="13"/>
        <v/>
      </c>
      <c r="BO61" s="12" t="str">
        <f t="shared" ca="1" si="14"/>
        <v/>
      </c>
      <c r="BP61" s="12" t="str">
        <f t="shared" ca="1" si="15"/>
        <v/>
      </c>
      <c r="BS61" s="12">
        <v>52</v>
      </c>
      <c r="BT61" s="14">
        <f t="shared" si="30"/>
        <v>36892.531249999876</v>
      </c>
      <c r="BU61" s="12" t="str">
        <f t="shared" ca="1" si="16"/>
        <v/>
      </c>
      <c r="BV61" s="12" t="str">
        <f t="shared" ca="1" si="17"/>
        <v/>
      </c>
      <c r="BW61" s="12" t="str">
        <f t="shared" ca="1" si="18"/>
        <v/>
      </c>
      <c r="CA61" s="15"/>
      <c r="CH61" s="15"/>
      <c r="CO61" s="15"/>
      <c r="CV61" s="15"/>
    </row>
    <row r="62" spans="35:100" ht="16.5" customHeight="1">
      <c r="AI62" s="15"/>
      <c r="AP62" s="12">
        <v>53</v>
      </c>
      <c r="AQ62" s="14">
        <f t="shared" si="26"/>
        <v>36892.541666666541</v>
      </c>
      <c r="AR62" s="12" cm="1">
        <f t="array" aca="1" ref="AR62" ca="1">INDIRECT(ADDRESS(2+$AP62,1+MATCH($AB$9,INDIRECT($AB$16&amp;"!$B$2:$R$2"),0),1,1,$AB$16))</f>
        <v>0</v>
      </c>
      <c r="AS62" s="12" cm="1">
        <f t="array" aca="1" ref="AS62" ca="1">INDIRECT(ADDRESS(2+$AP62,1+MATCH($AB$9,INDIRECT($AB$17&amp;"!$B$2:$R$2"),0),1,1,$AB$17))</f>
        <v>0</v>
      </c>
      <c r="AT62" s="12" cm="1">
        <f t="array" aca="1" ref="AT62" ca="1">INDIRECT(ADDRESS(2+$AP62,1+MATCH($AB$9,INDIRECT($AB$18&amp;"!$B$2:$R$2"),0),1,1,$AB$18))</f>
        <v>0</v>
      </c>
      <c r="AX62" s="12">
        <v>53</v>
      </c>
      <c r="AY62" s="14">
        <f t="shared" si="27"/>
        <v>36892.541666666541</v>
      </c>
      <c r="AZ62" s="12" t="b">
        <f t="shared" ca="1" si="7"/>
        <v>1</v>
      </c>
      <c r="BA62" s="12" t="b">
        <f t="shared" ca="1" si="8"/>
        <v>1</v>
      </c>
      <c r="BB62" s="12" t="b">
        <f t="shared" ca="1" si="9"/>
        <v>1</v>
      </c>
      <c r="BE62" s="12">
        <v>53</v>
      </c>
      <c r="BF62" s="14">
        <f t="shared" si="28"/>
        <v>36892.541666666541</v>
      </c>
      <c r="BG62" s="12" t="str">
        <f t="shared" ca="1" si="10"/>
        <v/>
      </c>
      <c r="BH62" s="12" t="str">
        <f t="shared" ca="1" si="11"/>
        <v/>
      </c>
      <c r="BI62" s="12" t="str">
        <f t="shared" ca="1" si="12"/>
        <v/>
      </c>
      <c r="BL62" s="12">
        <v>53</v>
      </c>
      <c r="BM62" s="14">
        <f t="shared" si="29"/>
        <v>36892.541666666541</v>
      </c>
      <c r="BN62" s="12" t="str">
        <f t="shared" ca="1" si="13"/>
        <v/>
      </c>
      <c r="BO62" s="12" t="str">
        <f t="shared" ca="1" si="14"/>
        <v/>
      </c>
      <c r="BP62" s="12" t="str">
        <f t="shared" ca="1" si="15"/>
        <v/>
      </c>
      <c r="BS62" s="12">
        <v>53</v>
      </c>
      <c r="BT62" s="14">
        <f t="shared" si="30"/>
        <v>36892.541666666541</v>
      </c>
      <c r="BU62" s="12" t="str">
        <f t="shared" ca="1" si="16"/>
        <v/>
      </c>
      <c r="BV62" s="12" t="str">
        <f t="shared" ca="1" si="17"/>
        <v/>
      </c>
      <c r="BW62" s="12" t="str">
        <f t="shared" ca="1" si="18"/>
        <v/>
      </c>
      <c r="CA62" s="15"/>
      <c r="CH62" s="15"/>
      <c r="CO62" s="15"/>
      <c r="CV62" s="15"/>
    </row>
    <row r="63" spans="35:100" ht="16.5" customHeight="1">
      <c r="AI63" s="15"/>
      <c r="AP63" s="12">
        <v>54</v>
      </c>
      <c r="AQ63" s="14">
        <f t="shared" si="26"/>
        <v>36892.552083333205</v>
      </c>
      <c r="AR63" s="12" cm="1">
        <f t="array" aca="1" ref="AR63" ca="1">INDIRECT(ADDRESS(2+$AP63,1+MATCH($AB$9,INDIRECT($AB$16&amp;"!$B$2:$R$2"),0),1,1,$AB$16))</f>
        <v>0</v>
      </c>
      <c r="AS63" s="12" cm="1">
        <f t="array" aca="1" ref="AS63" ca="1">INDIRECT(ADDRESS(2+$AP63,1+MATCH($AB$9,INDIRECT($AB$17&amp;"!$B$2:$R$2"),0),1,1,$AB$17))</f>
        <v>0</v>
      </c>
      <c r="AT63" s="12" cm="1">
        <f t="array" aca="1" ref="AT63" ca="1">INDIRECT(ADDRESS(2+$AP63,1+MATCH($AB$9,INDIRECT($AB$18&amp;"!$B$2:$R$2"),0),1,1,$AB$18))</f>
        <v>0</v>
      </c>
      <c r="AX63" s="12">
        <v>54</v>
      </c>
      <c r="AY63" s="14">
        <f t="shared" si="27"/>
        <v>36892.552083333205</v>
      </c>
      <c r="AZ63" s="12" t="b">
        <f t="shared" ca="1" si="7"/>
        <v>1</v>
      </c>
      <c r="BA63" s="12" t="b">
        <f t="shared" ca="1" si="8"/>
        <v>1</v>
      </c>
      <c r="BB63" s="12" t="b">
        <f t="shared" ca="1" si="9"/>
        <v>1</v>
      </c>
      <c r="BE63" s="12">
        <v>54</v>
      </c>
      <c r="BF63" s="14">
        <f t="shared" si="28"/>
        <v>36892.552083333205</v>
      </c>
      <c r="BG63" s="12" t="str">
        <f t="shared" ca="1" si="10"/>
        <v/>
      </c>
      <c r="BH63" s="12" t="str">
        <f t="shared" ca="1" si="11"/>
        <v/>
      </c>
      <c r="BI63" s="12" t="str">
        <f t="shared" ca="1" si="12"/>
        <v/>
      </c>
      <c r="BL63" s="12">
        <v>54</v>
      </c>
      <c r="BM63" s="14">
        <f t="shared" si="29"/>
        <v>36892.552083333205</v>
      </c>
      <c r="BN63" s="12" t="str">
        <f t="shared" ca="1" si="13"/>
        <v/>
      </c>
      <c r="BO63" s="12" t="str">
        <f t="shared" ca="1" si="14"/>
        <v/>
      </c>
      <c r="BP63" s="12" t="str">
        <f t="shared" ca="1" si="15"/>
        <v/>
      </c>
      <c r="BS63" s="12">
        <v>54</v>
      </c>
      <c r="BT63" s="14">
        <f t="shared" si="30"/>
        <v>36892.552083333205</v>
      </c>
      <c r="BU63" s="12" t="str">
        <f t="shared" ca="1" si="16"/>
        <v/>
      </c>
      <c r="BV63" s="12" t="str">
        <f t="shared" ca="1" si="17"/>
        <v/>
      </c>
      <c r="BW63" s="12" t="str">
        <f t="shared" ca="1" si="18"/>
        <v/>
      </c>
      <c r="CA63" s="15"/>
      <c r="CH63" s="15"/>
      <c r="CO63" s="15"/>
      <c r="CV63" s="15"/>
    </row>
    <row r="64" spans="35:100" ht="16.5" customHeight="1">
      <c r="AI64" s="15"/>
      <c r="AP64" s="12">
        <v>55</v>
      </c>
      <c r="AQ64" s="14">
        <f t="shared" si="26"/>
        <v>36892.562499999869</v>
      </c>
      <c r="AR64" s="12" cm="1">
        <f t="array" aca="1" ref="AR64" ca="1">INDIRECT(ADDRESS(2+$AP64,1+MATCH($AB$9,INDIRECT($AB$16&amp;"!$B$2:$R$2"),0),1,1,$AB$16))</f>
        <v>0</v>
      </c>
      <c r="AS64" s="12" cm="1">
        <f t="array" aca="1" ref="AS64" ca="1">INDIRECT(ADDRESS(2+$AP64,1+MATCH($AB$9,INDIRECT($AB$17&amp;"!$B$2:$R$2"),0),1,1,$AB$17))</f>
        <v>0</v>
      </c>
      <c r="AT64" s="12" cm="1">
        <f t="array" aca="1" ref="AT64" ca="1">INDIRECT(ADDRESS(2+$AP64,1+MATCH($AB$9,INDIRECT($AB$18&amp;"!$B$2:$R$2"),0),1,1,$AB$18))</f>
        <v>0</v>
      </c>
      <c r="AX64" s="12">
        <v>55</v>
      </c>
      <c r="AY64" s="14">
        <f t="shared" si="27"/>
        <v>36892.562499999869</v>
      </c>
      <c r="AZ64" s="12" t="b">
        <f t="shared" ca="1" si="7"/>
        <v>1</v>
      </c>
      <c r="BA64" s="12" t="b">
        <f t="shared" ca="1" si="8"/>
        <v>1</v>
      </c>
      <c r="BB64" s="12" t="b">
        <f t="shared" ca="1" si="9"/>
        <v>1</v>
      </c>
      <c r="BE64" s="12">
        <v>55</v>
      </c>
      <c r="BF64" s="14">
        <f t="shared" si="28"/>
        <v>36892.562499999869</v>
      </c>
      <c r="BG64" s="12" t="str">
        <f t="shared" ca="1" si="10"/>
        <v/>
      </c>
      <c r="BH64" s="12" t="str">
        <f t="shared" ca="1" si="11"/>
        <v/>
      </c>
      <c r="BI64" s="12" t="str">
        <f t="shared" ca="1" si="12"/>
        <v/>
      </c>
      <c r="BL64" s="12">
        <v>55</v>
      </c>
      <c r="BM64" s="14">
        <f t="shared" si="29"/>
        <v>36892.562499999869</v>
      </c>
      <c r="BN64" s="12" t="str">
        <f t="shared" ca="1" si="13"/>
        <v/>
      </c>
      <c r="BO64" s="12" t="str">
        <f t="shared" ca="1" si="14"/>
        <v/>
      </c>
      <c r="BP64" s="12" t="str">
        <f t="shared" ca="1" si="15"/>
        <v/>
      </c>
      <c r="BS64" s="12">
        <v>55</v>
      </c>
      <c r="BT64" s="14">
        <f t="shared" si="30"/>
        <v>36892.562499999869</v>
      </c>
      <c r="BU64" s="12" t="str">
        <f t="shared" ca="1" si="16"/>
        <v/>
      </c>
      <c r="BV64" s="12" t="str">
        <f t="shared" ca="1" si="17"/>
        <v/>
      </c>
      <c r="BW64" s="12" t="str">
        <f t="shared" ca="1" si="18"/>
        <v/>
      </c>
      <c r="CA64" s="15"/>
      <c r="CH64" s="15"/>
      <c r="CO64" s="15"/>
      <c r="CV64" s="15"/>
    </row>
    <row r="65" spans="35:100" ht="16.5" customHeight="1">
      <c r="AI65" s="15"/>
      <c r="AP65" s="12">
        <v>56</v>
      </c>
      <c r="AQ65" s="14">
        <f t="shared" si="26"/>
        <v>36892.572916666533</v>
      </c>
      <c r="AR65" s="12" cm="1">
        <f t="array" aca="1" ref="AR65" ca="1">INDIRECT(ADDRESS(2+$AP65,1+MATCH($AB$9,INDIRECT($AB$16&amp;"!$B$2:$R$2"),0),1,1,$AB$16))</f>
        <v>0</v>
      </c>
      <c r="AS65" s="12" cm="1">
        <f t="array" aca="1" ref="AS65" ca="1">INDIRECT(ADDRESS(2+$AP65,1+MATCH($AB$9,INDIRECT($AB$17&amp;"!$B$2:$R$2"),0),1,1,$AB$17))</f>
        <v>0</v>
      </c>
      <c r="AT65" s="12" cm="1">
        <f t="array" aca="1" ref="AT65" ca="1">INDIRECT(ADDRESS(2+$AP65,1+MATCH($AB$9,INDIRECT($AB$18&amp;"!$B$2:$R$2"),0),1,1,$AB$18))</f>
        <v>0</v>
      </c>
      <c r="AX65" s="12">
        <v>56</v>
      </c>
      <c r="AY65" s="14">
        <f t="shared" si="27"/>
        <v>36892.572916666533</v>
      </c>
      <c r="AZ65" s="12" t="b">
        <f t="shared" ca="1" si="7"/>
        <v>1</v>
      </c>
      <c r="BA65" s="12" t="b">
        <f t="shared" ca="1" si="8"/>
        <v>1</v>
      </c>
      <c r="BB65" s="12" t="b">
        <f t="shared" ca="1" si="9"/>
        <v>1</v>
      </c>
      <c r="BE65" s="12">
        <v>56</v>
      </c>
      <c r="BF65" s="14">
        <f t="shared" si="28"/>
        <v>36892.572916666533</v>
      </c>
      <c r="BG65" s="12" t="str">
        <f t="shared" ca="1" si="10"/>
        <v/>
      </c>
      <c r="BH65" s="12" t="str">
        <f t="shared" ca="1" si="11"/>
        <v/>
      </c>
      <c r="BI65" s="12" t="str">
        <f t="shared" ca="1" si="12"/>
        <v/>
      </c>
      <c r="BL65" s="12">
        <v>56</v>
      </c>
      <c r="BM65" s="14">
        <f t="shared" si="29"/>
        <v>36892.572916666533</v>
      </c>
      <c r="BN65" s="12" t="str">
        <f t="shared" ca="1" si="13"/>
        <v/>
      </c>
      <c r="BO65" s="12" t="str">
        <f t="shared" ca="1" si="14"/>
        <v/>
      </c>
      <c r="BP65" s="12" t="str">
        <f t="shared" ca="1" si="15"/>
        <v/>
      </c>
      <c r="BS65" s="12">
        <v>56</v>
      </c>
      <c r="BT65" s="14">
        <f t="shared" si="30"/>
        <v>36892.572916666533</v>
      </c>
      <c r="BU65" s="12" t="str">
        <f t="shared" ca="1" si="16"/>
        <v/>
      </c>
      <c r="BV65" s="12" t="str">
        <f t="shared" ca="1" si="17"/>
        <v/>
      </c>
      <c r="BW65" s="12" t="str">
        <f t="shared" ca="1" si="18"/>
        <v/>
      </c>
      <c r="CA65" s="15"/>
      <c r="CH65" s="15"/>
      <c r="CO65" s="15"/>
      <c r="CV65" s="15"/>
    </row>
    <row r="66" spans="35:100" ht="16.5" customHeight="1">
      <c r="AI66" s="15"/>
      <c r="AP66" s="12">
        <v>57</v>
      </c>
      <c r="AQ66" s="14">
        <f t="shared" si="26"/>
        <v>36892.583333333198</v>
      </c>
      <c r="AR66" s="12" cm="1">
        <f t="array" aca="1" ref="AR66" ca="1">INDIRECT(ADDRESS(2+$AP66,1+MATCH($AB$9,INDIRECT($AB$16&amp;"!$B$2:$R$2"),0),1,1,$AB$16))</f>
        <v>0</v>
      </c>
      <c r="AS66" s="12" cm="1">
        <f t="array" aca="1" ref="AS66" ca="1">INDIRECT(ADDRESS(2+$AP66,1+MATCH($AB$9,INDIRECT($AB$17&amp;"!$B$2:$R$2"),0),1,1,$AB$17))</f>
        <v>0</v>
      </c>
      <c r="AT66" s="12" cm="1">
        <f t="array" aca="1" ref="AT66" ca="1">INDIRECT(ADDRESS(2+$AP66,1+MATCH($AB$9,INDIRECT($AB$18&amp;"!$B$2:$R$2"),0),1,1,$AB$18))</f>
        <v>0</v>
      </c>
      <c r="AX66" s="12">
        <v>57</v>
      </c>
      <c r="AY66" s="14">
        <f t="shared" si="27"/>
        <v>36892.583333333198</v>
      </c>
      <c r="AZ66" s="12" t="b">
        <f t="shared" ca="1" si="7"/>
        <v>1</v>
      </c>
      <c r="BA66" s="12" t="b">
        <f t="shared" ca="1" si="8"/>
        <v>1</v>
      </c>
      <c r="BB66" s="12" t="b">
        <f t="shared" ca="1" si="9"/>
        <v>1</v>
      </c>
      <c r="BE66" s="12">
        <v>57</v>
      </c>
      <c r="BF66" s="14">
        <f t="shared" si="28"/>
        <v>36892.583333333198</v>
      </c>
      <c r="BG66" s="12" t="str">
        <f t="shared" ca="1" si="10"/>
        <v/>
      </c>
      <c r="BH66" s="12" t="str">
        <f t="shared" ca="1" si="11"/>
        <v/>
      </c>
      <c r="BI66" s="12" t="str">
        <f t="shared" ca="1" si="12"/>
        <v/>
      </c>
      <c r="BL66" s="12">
        <v>57</v>
      </c>
      <c r="BM66" s="14">
        <f t="shared" si="29"/>
        <v>36892.583333333198</v>
      </c>
      <c r="BN66" s="12" t="str">
        <f t="shared" ca="1" si="13"/>
        <v/>
      </c>
      <c r="BO66" s="12" t="str">
        <f t="shared" ca="1" si="14"/>
        <v/>
      </c>
      <c r="BP66" s="12" t="str">
        <f t="shared" ca="1" si="15"/>
        <v/>
      </c>
      <c r="BS66" s="12">
        <v>57</v>
      </c>
      <c r="BT66" s="14">
        <f t="shared" si="30"/>
        <v>36892.583333333198</v>
      </c>
      <c r="BU66" s="12" t="str">
        <f t="shared" ca="1" si="16"/>
        <v/>
      </c>
      <c r="BV66" s="12" t="str">
        <f t="shared" ca="1" si="17"/>
        <v/>
      </c>
      <c r="BW66" s="12" t="str">
        <f t="shared" ca="1" si="18"/>
        <v/>
      </c>
      <c r="CA66" s="15"/>
      <c r="CH66" s="15"/>
      <c r="CO66" s="15"/>
      <c r="CV66" s="15"/>
    </row>
    <row r="67" spans="35:100" ht="16.5" customHeight="1">
      <c r="AI67" s="15"/>
      <c r="AP67" s="12">
        <v>58</v>
      </c>
      <c r="AQ67" s="14">
        <f t="shared" si="26"/>
        <v>36892.593749999862</v>
      </c>
      <c r="AR67" s="12" cm="1">
        <f t="array" aca="1" ref="AR67" ca="1">INDIRECT(ADDRESS(2+$AP67,1+MATCH($AB$9,INDIRECT($AB$16&amp;"!$B$2:$R$2"),0),1,1,$AB$16))</f>
        <v>0</v>
      </c>
      <c r="AS67" s="12" cm="1">
        <f t="array" aca="1" ref="AS67" ca="1">INDIRECT(ADDRESS(2+$AP67,1+MATCH($AB$9,INDIRECT($AB$17&amp;"!$B$2:$R$2"),0),1,1,$AB$17))</f>
        <v>0</v>
      </c>
      <c r="AT67" s="12" cm="1">
        <f t="array" aca="1" ref="AT67" ca="1">INDIRECT(ADDRESS(2+$AP67,1+MATCH($AB$9,INDIRECT($AB$18&amp;"!$B$2:$R$2"),0),1,1,$AB$18))</f>
        <v>0</v>
      </c>
      <c r="AX67" s="12">
        <v>58</v>
      </c>
      <c r="AY67" s="14">
        <f t="shared" si="27"/>
        <v>36892.593749999862</v>
      </c>
      <c r="AZ67" s="12" t="b">
        <f t="shared" ca="1" si="7"/>
        <v>1</v>
      </c>
      <c r="BA67" s="12" t="b">
        <f t="shared" ca="1" si="8"/>
        <v>1</v>
      </c>
      <c r="BB67" s="12" t="b">
        <f t="shared" ca="1" si="9"/>
        <v>1</v>
      </c>
      <c r="BE67" s="12">
        <v>58</v>
      </c>
      <c r="BF67" s="14">
        <f t="shared" si="28"/>
        <v>36892.593749999862</v>
      </c>
      <c r="BG67" s="12" t="str">
        <f t="shared" ca="1" si="10"/>
        <v/>
      </c>
      <c r="BH67" s="12" t="str">
        <f t="shared" ca="1" si="11"/>
        <v/>
      </c>
      <c r="BI67" s="12" t="str">
        <f t="shared" ca="1" si="12"/>
        <v/>
      </c>
      <c r="BL67" s="12">
        <v>58</v>
      </c>
      <c r="BM67" s="14">
        <f t="shared" si="29"/>
        <v>36892.593749999862</v>
      </c>
      <c r="BN67" s="12" t="str">
        <f t="shared" ca="1" si="13"/>
        <v/>
      </c>
      <c r="BO67" s="12" t="str">
        <f t="shared" ca="1" si="14"/>
        <v/>
      </c>
      <c r="BP67" s="12" t="str">
        <f t="shared" ca="1" si="15"/>
        <v/>
      </c>
      <c r="BS67" s="12">
        <v>58</v>
      </c>
      <c r="BT67" s="14">
        <f t="shared" si="30"/>
        <v>36892.593749999862</v>
      </c>
      <c r="BU67" s="12" t="str">
        <f t="shared" ca="1" si="16"/>
        <v/>
      </c>
      <c r="BV67" s="12" t="str">
        <f t="shared" ca="1" si="17"/>
        <v/>
      </c>
      <c r="BW67" s="12" t="str">
        <f t="shared" ca="1" si="18"/>
        <v/>
      </c>
      <c r="CA67" s="15"/>
      <c r="CH67" s="15"/>
      <c r="CO67" s="15"/>
      <c r="CV67" s="15"/>
    </row>
    <row r="68" spans="35:100" ht="16.5" customHeight="1">
      <c r="AI68" s="15"/>
      <c r="AP68" s="12">
        <v>59</v>
      </c>
      <c r="AQ68" s="14">
        <f t="shared" si="26"/>
        <v>36892.604166666526</v>
      </c>
      <c r="AR68" s="12" cm="1">
        <f t="array" aca="1" ref="AR68" ca="1">INDIRECT(ADDRESS(2+$AP68,1+MATCH($AB$9,INDIRECT($AB$16&amp;"!$B$2:$R$2"),0),1,1,$AB$16))</f>
        <v>0</v>
      </c>
      <c r="AS68" s="12" cm="1">
        <f t="array" aca="1" ref="AS68" ca="1">INDIRECT(ADDRESS(2+$AP68,1+MATCH($AB$9,INDIRECT($AB$17&amp;"!$B$2:$R$2"),0),1,1,$AB$17))</f>
        <v>0</v>
      </c>
      <c r="AT68" s="12" cm="1">
        <f t="array" aca="1" ref="AT68" ca="1">INDIRECT(ADDRESS(2+$AP68,1+MATCH($AB$9,INDIRECT($AB$18&amp;"!$B$2:$R$2"),0),1,1,$AB$18))</f>
        <v>0</v>
      </c>
      <c r="AX68" s="12">
        <v>59</v>
      </c>
      <c r="AY68" s="14">
        <f t="shared" si="27"/>
        <v>36892.604166666526</v>
      </c>
      <c r="AZ68" s="12" t="b">
        <f t="shared" ca="1" si="7"/>
        <v>1</v>
      </c>
      <c r="BA68" s="12" t="b">
        <f t="shared" ca="1" si="8"/>
        <v>1</v>
      </c>
      <c r="BB68" s="12" t="b">
        <f t="shared" ca="1" si="9"/>
        <v>1</v>
      </c>
      <c r="BE68" s="12">
        <v>59</v>
      </c>
      <c r="BF68" s="14">
        <f t="shared" si="28"/>
        <v>36892.604166666526</v>
      </c>
      <c r="BG68" s="12" t="str">
        <f t="shared" ca="1" si="10"/>
        <v/>
      </c>
      <c r="BH68" s="12" t="str">
        <f t="shared" ca="1" si="11"/>
        <v/>
      </c>
      <c r="BI68" s="12" t="str">
        <f t="shared" ca="1" si="12"/>
        <v/>
      </c>
      <c r="BL68" s="12">
        <v>59</v>
      </c>
      <c r="BM68" s="14">
        <f t="shared" si="29"/>
        <v>36892.604166666526</v>
      </c>
      <c r="BN68" s="12" t="str">
        <f t="shared" ca="1" si="13"/>
        <v/>
      </c>
      <c r="BO68" s="12" t="str">
        <f t="shared" ca="1" si="14"/>
        <v/>
      </c>
      <c r="BP68" s="12" t="str">
        <f t="shared" ca="1" si="15"/>
        <v/>
      </c>
      <c r="BS68" s="12">
        <v>59</v>
      </c>
      <c r="BT68" s="14">
        <f t="shared" si="30"/>
        <v>36892.604166666526</v>
      </c>
      <c r="BU68" s="12" t="str">
        <f t="shared" ca="1" si="16"/>
        <v/>
      </c>
      <c r="BV68" s="12" t="str">
        <f t="shared" ca="1" si="17"/>
        <v/>
      </c>
      <c r="BW68" s="12" t="str">
        <f t="shared" ca="1" si="18"/>
        <v/>
      </c>
      <c r="CA68" s="15"/>
      <c r="CH68" s="15"/>
      <c r="CO68" s="15"/>
      <c r="CV68" s="15"/>
    </row>
    <row r="69" spans="35:100" ht="16.5" customHeight="1">
      <c r="AI69" s="15"/>
      <c r="AP69" s="12">
        <v>60</v>
      </c>
      <c r="AQ69" s="14">
        <f t="shared" si="26"/>
        <v>36892.61458333319</v>
      </c>
      <c r="AR69" s="12" cm="1">
        <f t="array" aca="1" ref="AR69" ca="1">INDIRECT(ADDRESS(2+$AP69,1+MATCH($AB$9,INDIRECT($AB$16&amp;"!$B$2:$R$2"),0),1,1,$AB$16))</f>
        <v>0</v>
      </c>
      <c r="AS69" s="12" cm="1">
        <f t="array" aca="1" ref="AS69" ca="1">INDIRECT(ADDRESS(2+$AP69,1+MATCH($AB$9,INDIRECT($AB$17&amp;"!$B$2:$R$2"),0),1,1,$AB$17))</f>
        <v>0</v>
      </c>
      <c r="AT69" s="12" cm="1">
        <f t="array" aca="1" ref="AT69" ca="1">INDIRECT(ADDRESS(2+$AP69,1+MATCH($AB$9,INDIRECT($AB$18&amp;"!$B$2:$R$2"),0),1,1,$AB$18))</f>
        <v>0</v>
      </c>
      <c r="AX69" s="12">
        <v>60</v>
      </c>
      <c r="AY69" s="14">
        <f t="shared" si="27"/>
        <v>36892.61458333319</v>
      </c>
      <c r="AZ69" s="12" t="b">
        <f t="shared" ca="1" si="7"/>
        <v>1</v>
      </c>
      <c r="BA69" s="12" t="b">
        <f t="shared" ca="1" si="8"/>
        <v>1</v>
      </c>
      <c r="BB69" s="12" t="b">
        <f t="shared" ca="1" si="9"/>
        <v>1</v>
      </c>
      <c r="BE69" s="12">
        <v>60</v>
      </c>
      <c r="BF69" s="14">
        <f t="shared" si="28"/>
        <v>36892.61458333319</v>
      </c>
      <c r="BG69" s="12" t="str">
        <f t="shared" ca="1" si="10"/>
        <v/>
      </c>
      <c r="BH69" s="12" t="str">
        <f t="shared" ca="1" si="11"/>
        <v/>
      </c>
      <c r="BI69" s="12" t="str">
        <f t="shared" ca="1" si="12"/>
        <v/>
      </c>
      <c r="BL69" s="12">
        <v>60</v>
      </c>
      <c r="BM69" s="14">
        <f t="shared" si="29"/>
        <v>36892.61458333319</v>
      </c>
      <c r="BN69" s="12" t="str">
        <f t="shared" ca="1" si="13"/>
        <v/>
      </c>
      <c r="BO69" s="12" t="str">
        <f t="shared" ca="1" si="14"/>
        <v/>
      </c>
      <c r="BP69" s="12" t="str">
        <f t="shared" ca="1" si="15"/>
        <v/>
      </c>
      <c r="BS69" s="12">
        <v>60</v>
      </c>
      <c r="BT69" s="14">
        <f t="shared" si="30"/>
        <v>36892.61458333319</v>
      </c>
      <c r="BU69" s="12" t="str">
        <f t="shared" ca="1" si="16"/>
        <v/>
      </c>
      <c r="BV69" s="12" t="str">
        <f t="shared" ca="1" si="17"/>
        <v/>
      </c>
      <c r="BW69" s="12" t="str">
        <f t="shared" ca="1" si="18"/>
        <v/>
      </c>
      <c r="CA69" s="15"/>
      <c r="CH69" s="15"/>
      <c r="CO69" s="15"/>
      <c r="CV69" s="15"/>
    </row>
    <row r="70" spans="35:100" ht="16.5" customHeight="1">
      <c r="AI70" s="15"/>
      <c r="AP70" s="12">
        <v>61</v>
      </c>
      <c r="AQ70" s="14">
        <f t="shared" si="26"/>
        <v>36892.624999999854</v>
      </c>
      <c r="AR70" s="12" cm="1">
        <f t="array" aca="1" ref="AR70" ca="1">INDIRECT(ADDRESS(2+$AP70,1+MATCH($AB$9,INDIRECT($AB$16&amp;"!$B$2:$R$2"),0),1,1,$AB$16))</f>
        <v>0</v>
      </c>
      <c r="AS70" s="12" cm="1">
        <f t="array" aca="1" ref="AS70" ca="1">INDIRECT(ADDRESS(2+$AP70,1+MATCH($AB$9,INDIRECT($AB$17&amp;"!$B$2:$R$2"),0),1,1,$AB$17))</f>
        <v>0</v>
      </c>
      <c r="AT70" s="12" cm="1">
        <f t="array" aca="1" ref="AT70" ca="1">INDIRECT(ADDRESS(2+$AP70,1+MATCH($AB$9,INDIRECT($AB$18&amp;"!$B$2:$R$2"),0),1,1,$AB$18))</f>
        <v>0</v>
      </c>
      <c r="AX70" s="12">
        <v>61</v>
      </c>
      <c r="AY70" s="14">
        <f t="shared" si="27"/>
        <v>36892.624999999854</v>
      </c>
      <c r="AZ70" s="12" t="b">
        <f t="shared" ca="1" si="7"/>
        <v>1</v>
      </c>
      <c r="BA70" s="12" t="b">
        <f t="shared" ca="1" si="8"/>
        <v>1</v>
      </c>
      <c r="BB70" s="12" t="b">
        <f t="shared" ca="1" si="9"/>
        <v>1</v>
      </c>
      <c r="BE70" s="12">
        <v>61</v>
      </c>
      <c r="BF70" s="14">
        <f t="shared" si="28"/>
        <v>36892.624999999854</v>
      </c>
      <c r="BG70" s="12" t="str">
        <f t="shared" ca="1" si="10"/>
        <v/>
      </c>
      <c r="BH70" s="12" t="str">
        <f t="shared" ca="1" si="11"/>
        <v/>
      </c>
      <c r="BI70" s="12" t="str">
        <f t="shared" ca="1" si="12"/>
        <v/>
      </c>
      <c r="BL70" s="12">
        <v>61</v>
      </c>
      <c r="BM70" s="14">
        <f t="shared" si="29"/>
        <v>36892.624999999854</v>
      </c>
      <c r="BN70" s="12" t="str">
        <f t="shared" ca="1" si="13"/>
        <v/>
      </c>
      <c r="BO70" s="12" t="str">
        <f t="shared" ca="1" si="14"/>
        <v/>
      </c>
      <c r="BP70" s="12" t="str">
        <f t="shared" ca="1" si="15"/>
        <v/>
      </c>
      <c r="BS70" s="12">
        <v>61</v>
      </c>
      <c r="BT70" s="14">
        <f t="shared" si="30"/>
        <v>36892.624999999854</v>
      </c>
      <c r="BU70" s="12" t="str">
        <f t="shared" ca="1" si="16"/>
        <v/>
      </c>
      <c r="BV70" s="12" t="str">
        <f t="shared" ca="1" si="17"/>
        <v/>
      </c>
      <c r="BW70" s="12" t="str">
        <f t="shared" ca="1" si="18"/>
        <v/>
      </c>
      <c r="CA70" s="15"/>
      <c r="CH70" s="15"/>
      <c r="CO70" s="15"/>
      <c r="CV70" s="15"/>
    </row>
    <row r="71" spans="35:100" ht="16.5" customHeight="1">
      <c r="AI71" s="15"/>
      <c r="AP71" s="12">
        <v>62</v>
      </c>
      <c r="AQ71" s="14">
        <f t="shared" si="26"/>
        <v>36892.635416666519</v>
      </c>
      <c r="AR71" s="12" cm="1">
        <f t="array" aca="1" ref="AR71" ca="1">INDIRECT(ADDRESS(2+$AP71,1+MATCH($AB$9,INDIRECT($AB$16&amp;"!$B$2:$R$2"),0),1,1,$AB$16))</f>
        <v>0</v>
      </c>
      <c r="AS71" s="12" cm="1">
        <f t="array" aca="1" ref="AS71" ca="1">INDIRECT(ADDRESS(2+$AP71,1+MATCH($AB$9,INDIRECT($AB$17&amp;"!$B$2:$R$2"),0),1,1,$AB$17))</f>
        <v>0</v>
      </c>
      <c r="AT71" s="12" cm="1">
        <f t="array" aca="1" ref="AT71" ca="1">INDIRECT(ADDRESS(2+$AP71,1+MATCH($AB$9,INDIRECT($AB$18&amp;"!$B$2:$R$2"),0),1,1,$AB$18))</f>
        <v>0</v>
      </c>
      <c r="AX71" s="12">
        <v>62</v>
      </c>
      <c r="AY71" s="14">
        <f t="shared" si="27"/>
        <v>36892.635416666519</v>
      </c>
      <c r="AZ71" s="12" t="b">
        <f t="shared" ca="1" si="7"/>
        <v>1</v>
      </c>
      <c r="BA71" s="12" t="b">
        <f t="shared" ca="1" si="8"/>
        <v>1</v>
      </c>
      <c r="BB71" s="12" t="b">
        <f t="shared" ca="1" si="9"/>
        <v>1</v>
      </c>
      <c r="BE71" s="12">
        <v>62</v>
      </c>
      <c r="BF71" s="14">
        <f t="shared" si="28"/>
        <v>36892.635416666519</v>
      </c>
      <c r="BG71" s="12" t="str">
        <f t="shared" ca="1" si="10"/>
        <v/>
      </c>
      <c r="BH71" s="12" t="str">
        <f t="shared" ca="1" si="11"/>
        <v/>
      </c>
      <c r="BI71" s="12" t="str">
        <f t="shared" ca="1" si="12"/>
        <v/>
      </c>
      <c r="BL71" s="12">
        <v>62</v>
      </c>
      <c r="BM71" s="14">
        <f t="shared" si="29"/>
        <v>36892.635416666519</v>
      </c>
      <c r="BN71" s="12" t="str">
        <f t="shared" ca="1" si="13"/>
        <v/>
      </c>
      <c r="BO71" s="12" t="str">
        <f t="shared" ca="1" si="14"/>
        <v/>
      </c>
      <c r="BP71" s="12" t="str">
        <f t="shared" ca="1" si="15"/>
        <v/>
      </c>
      <c r="BS71" s="12">
        <v>62</v>
      </c>
      <c r="BT71" s="14">
        <f t="shared" si="30"/>
        <v>36892.635416666519</v>
      </c>
      <c r="BU71" s="12" t="str">
        <f t="shared" ca="1" si="16"/>
        <v/>
      </c>
      <c r="BV71" s="12" t="str">
        <f t="shared" ca="1" si="17"/>
        <v/>
      </c>
      <c r="BW71" s="12" t="str">
        <f t="shared" ca="1" si="18"/>
        <v/>
      </c>
      <c r="CA71" s="15"/>
      <c r="CH71" s="15"/>
      <c r="CO71" s="15"/>
      <c r="CV71" s="15"/>
    </row>
    <row r="72" spans="35:100" ht="16.5" customHeight="1">
      <c r="AI72" s="15"/>
      <c r="AP72" s="12">
        <v>63</v>
      </c>
      <c r="AQ72" s="14">
        <f t="shared" si="26"/>
        <v>36892.645833333183</v>
      </c>
      <c r="AR72" s="12" cm="1">
        <f t="array" aca="1" ref="AR72" ca="1">INDIRECT(ADDRESS(2+$AP72,1+MATCH($AB$9,INDIRECT($AB$16&amp;"!$B$2:$R$2"),0),1,1,$AB$16))</f>
        <v>0</v>
      </c>
      <c r="AS72" s="12" cm="1">
        <f t="array" aca="1" ref="AS72" ca="1">INDIRECT(ADDRESS(2+$AP72,1+MATCH($AB$9,INDIRECT($AB$17&amp;"!$B$2:$R$2"),0),1,1,$AB$17))</f>
        <v>0</v>
      </c>
      <c r="AT72" s="12" cm="1">
        <f t="array" aca="1" ref="AT72" ca="1">INDIRECT(ADDRESS(2+$AP72,1+MATCH($AB$9,INDIRECT($AB$18&amp;"!$B$2:$R$2"),0),1,1,$AB$18))</f>
        <v>0</v>
      </c>
      <c r="AX72" s="12">
        <v>63</v>
      </c>
      <c r="AY72" s="14">
        <f t="shared" si="27"/>
        <v>36892.645833333183</v>
      </c>
      <c r="AZ72" s="12" t="b">
        <f t="shared" ca="1" si="7"/>
        <v>1</v>
      </c>
      <c r="BA72" s="12" t="b">
        <f t="shared" ca="1" si="8"/>
        <v>1</v>
      </c>
      <c r="BB72" s="12" t="b">
        <f t="shared" ca="1" si="9"/>
        <v>1</v>
      </c>
      <c r="BE72" s="12">
        <v>63</v>
      </c>
      <c r="BF72" s="14">
        <f t="shared" si="28"/>
        <v>36892.645833333183</v>
      </c>
      <c r="BG72" s="12" t="str">
        <f t="shared" ca="1" si="10"/>
        <v/>
      </c>
      <c r="BH72" s="12" t="str">
        <f t="shared" ca="1" si="11"/>
        <v/>
      </c>
      <c r="BI72" s="12" t="str">
        <f t="shared" ca="1" si="12"/>
        <v/>
      </c>
      <c r="BL72" s="12">
        <v>63</v>
      </c>
      <c r="BM72" s="14">
        <f t="shared" si="29"/>
        <v>36892.645833333183</v>
      </c>
      <c r="BN72" s="12" t="str">
        <f t="shared" ca="1" si="13"/>
        <v/>
      </c>
      <c r="BO72" s="12" t="str">
        <f t="shared" ca="1" si="14"/>
        <v/>
      </c>
      <c r="BP72" s="12" t="str">
        <f t="shared" ca="1" si="15"/>
        <v/>
      </c>
      <c r="BS72" s="12">
        <v>63</v>
      </c>
      <c r="BT72" s="14">
        <f t="shared" si="30"/>
        <v>36892.645833333183</v>
      </c>
      <c r="BU72" s="12" t="str">
        <f t="shared" ca="1" si="16"/>
        <v/>
      </c>
      <c r="BV72" s="12" t="str">
        <f t="shared" ca="1" si="17"/>
        <v/>
      </c>
      <c r="BW72" s="12" t="str">
        <f t="shared" ca="1" si="18"/>
        <v/>
      </c>
      <c r="CA72" s="15"/>
      <c r="CH72" s="15"/>
      <c r="CO72" s="15"/>
      <c r="CV72" s="15"/>
    </row>
    <row r="73" spans="35:100" ht="16.5" customHeight="1">
      <c r="AI73" s="15"/>
      <c r="AP73" s="12">
        <v>64</v>
      </c>
      <c r="AQ73" s="14">
        <f t="shared" si="26"/>
        <v>36892.656249999847</v>
      </c>
      <c r="AR73" s="12" cm="1">
        <f t="array" aca="1" ref="AR73" ca="1">INDIRECT(ADDRESS(2+$AP73,1+MATCH($AB$9,INDIRECT($AB$16&amp;"!$B$2:$R$2"),0),1,1,$AB$16))</f>
        <v>0</v>
      </c>
      <c r="AS73" s="12" cm="1">
        <f t="array" aca="1" ref="AS73" ca="1">INDIRECT(ADDRESS(2+$AP73,1+MATCH($AB$9,INDIRECT($AB$17&amp;"!$B$2:$R$2"),0),1,1,$AB$17))</f>
        <v>0</v>
      </c>
      <c r="AT73" s="12" cm="1">
        <f t="array" aca="1" ref="AT73" ca="1">INDIRECT(ADDRESS(2+$AP73,1+MATCH($AB$9,INDIRECT($AB$18&amp;"!$B$2:$R$2"),0),1,1,$AB$18))</f>
        <v>0</v>
      </c>
      <c r="AX73" s="12">
        <v>64</v>
      </c>
      <c r="AY73" s="14">
        <f t="shared" si="27"/>
        <v>36892.656249999847</v>
      </c>
      <c r="AZ73" s="12" t="b">
        <f t="shared" ca="1" si="7"/>
        <v>1</v>
      </c>
      <c r="BA73" s="12" t="b">
        <f t="shared" ca="1" si="8"/>
        <v>1</v>
      </c>
      <c r="BB73" s="12" t="b">
        <f t="shared" ca="1" si="9"/>
        <v>1</v>
      </c>
      <c r="BE73" s="12">
        <v>64</v>
      </c>
      <c r="BF73" s="14">
        <f t="shared" si="28"/>
        <v>36892.656249999847</v>
      </c>
      <c r="BG73" s="12" t="str">
        <f t="shared" ca="1" si="10"/>
        <v/>
      </c>
      <c r="BH73" s="12" t="str">
        <f t="shared" ca="1" si="11"/>
        <v/>
      </c>
      <c r="BI73" s="12" t="str">
        <f t="shared" ca="1" si="12"/>
        <v/>
      </c>
      <c r="BL73" s="12">
        <v>64</v>
      </c>
      <c r="BM73" s="14">
        <f t="shared" si="29"/>
        <v>36892.656249999847</v>
      </c>
      <c r="BN73" s="12" t="str">
        <f t="shared" ca="1" si="13"/>
        <v/>
      </c>
      <c r="BO73" s="12" t="str">
        <f t="shared" ca="1" si="14"/>
        <v/>
      </c>
      <c r="BP73" s="12" t="str">
        <f t="shared" ca="1" si="15"/>
        <v/>
      </c>
      <c r="BS73" s="12">
        <v>64</v>
      </c>
      <c r="BT73" s="14">
        <f t="shared" si="30"/>
        <v>36892.656249999847</v>
      </c>
      <c r="BU73" s="12" t="str">
        <f t="shared" ca="1" si="16"/>
        <v/>
      </c>
      <c r="BV73" s="12" t="str">
        <f t="shared" ca="1" si="17"/>
        <v/>
      </c>
      <c r="BW73" s="12" t="str">
        <f t="shared" ca="1" si="18"/>
        <v/>
      </c>
      <c r="CA73" s="15"/>
      <c r="CH73" s="15"/>
      <c r="CO73" s="15"/>
      <c r="CV73" s="15"/>
    </row>
    <row r="74" spans="35:100" ht="16.5" customHeight="1">
      <c r="AI74" s="15"/>
      <c r="AP74" s="12">
        <v>65</v>
      </c>
      <c r="AQ74" s="14">
        <f t="shared" si="26"/>
        <v>36892.666666666511</v>
      </c>
      <c r="AR74" s="12" cm="1">
        <f t="array" aca="1" ref="AR74" ca="1">INDIRECT(ADDRESS(2+$AP74,1+MATCH($AB$9,INDIRECT($AB$16&amp;"!$B$2:$R$2"),0),1,1,$AB$16))</f>
        <v>0</v>
      </c>
      <c r="AS74" s="12" cm="1">
        <f t="array" aca="1" ref="AS74" ca="1">INDIRECT(ADDRESS(2+$AP74,1+MATCH($AB$9,INDIRECT($AB$17&amp;"!$B$2:$R$2"),0),1,1,$AB$17))</f>
        <v>1</v>
      </c>
      <c r="AT74" s="12" cm="1">
        <f t="array" aca="1" ref="AT74" ca="1">INDIRECT(ADDRESS(2+$AP74,1+MATCH($AB$9,INDIRECT($AB$18&amp;"!$B$2:$R$2"),0),1,1,$AB$18))</f>
        <v>0</v>
      </c>
      <c r="AX74" s="12">
        <v>65</v>
      </c>
      <c r="AY74" s="14">
        <f t="shared" si="27"/>
        <v>36892.666666666511</v>
      </c>
      <c r="AZ74" s="12" t="b">
        <f t="shared" ca="1" si="7"/>
        <v>1</v>
      </c>
      <c r="BA74" s="12" t="str">
        <f t="shared" ca="1" si="8"/>
        <v/>
      </c>
      <c r="BB74" s="12" t="b">
        <f t="shared" ca="1" si="9"/>
        <v>1</v>
      </c>
      <c r="BE74" s="12">
        <v>65</v>
      </c>
      <c r="BF74" s="14">
        <f t="shared" si="28"/>
        <v>36892.666666666511</v>
      </c>
      <c r="BG74" s="12" t="str">
        <f t="shared" ca="1" si="10"/>
        <v/>
      </c>
      <c r="BH74" s="12" t="b">
        <f t="shared" ca="1" si="11"/>
        <v>1</v>
      </c>
      <c r="BI74" s="12" t="str">
        <f t="shared" ca="1" si="12"/>
        <v/>
      </c>
      <c r="BL74" s="12">
        <v>65</v>
      </c>
      <c r="BM74" s="14">
        <f t="shared" si="29"/>
        <v>36892.666666666511</v>
      </c>
      <c r="BN74" s="12" t="str">
        <f t="shared" ca="1" si="13"/>
        <v/>
      </c>
      <c r="BO74" s="12" t="str">
        <f t="shared" ca="1" si="14"/>
        <v/>
      </c>
      <c r="BP74" s="12" t="str">
        <f t="shared" ca="1" si="15"/>
        <v/>
      </c>
      <c r="BS74" s="12">
        <v>65</v>
      </c>
      <c r="BT74" s="14">
        <f t="shared" si="30"/>
        <v>36892.666666666511</v>
      </c>
      <c r="BU74" s="12" t="str">
        <f t="shared" ca="1" si="16"/>
        <v/>
      </c>
      <c r="BV74" s="12" t="str">
        <f t="shared" ca="1" si="17"/>
        <v/>
      </c>
      <c r="BW74" s="12" t="str">
        <f t="shared" ca="1" si="18"/>
        <v/>
      </c>
      <c r="CA74" s="15"/>
      <c r="CH74" s="15"/>
      <c r="CO74" s="15"/>
      <c r="CV74" s="15"/>
    </row>
    <row r="75" spans="35:100" ht="16.5" customHeight="1">
      <c r="AI75" s="15"/>
      <c r="AP75" s="12">
        <v>66</v>
      </c>
      <c r="AQ75" s="14">
        <f t="shared" si="26"/>
        <v>36892.677083333176</v>
      </c>
      <c r="AR75" s="12" cm="1">
        <f t="array" aca="1" ref="AR75" ca="1">INDIRECT(ADDRESS(2+$AP75,1+MATCH($AB$9,INDIRECT($AB$16&amp;"!$B$2:$R$2"),0),1,1,$AB$16))</f>
        <v>0</v>
      </c>
      <c r="AS75" s="12" cm="1">
        <f t="array" aca="1" ref="AS75" ca="1">INDIRECT(ADDRESS(2+$AP75,1+MATCH($AB$9,INDIRECT($AB$17&amp;"!$B$2:$R$2"),0),1,1,$AB$17))</f>
        <v>0</v>
      </c>
      <c r="AT75" s="12" cm="1">
        <f t="array" aca="1" ref="AT75" ca="1">INDIRECT(ADDRESS(2+$AP75,1+MATCH($AB$9,INDIRECT($AB$18&amp;"!$B$2:$R$2"),0),1,1,$AB$18))</f>
        <v>0</v>
      </c>
      <c r="AX75" s="12">
        <v>66</v>
      </c>
      <c r="AY75" s="14">
        <f t="shared" si="27"/>
        <v>36892.677083333176</v>
      </c>
      <c r="AZ75" s="12" t="b">
        <f t="shared" ref="AZ75:AZ105" ca="1" si="185">IF($AR75=0,TRUE,"")</f>
        <v>1</v>
      </c>
      <c r="BA75" s="12" t="b">
        <f t="shared" ref="BA75:BA105" ca="1" si="186">IF($AS75=0,TRUE,"")</f>
        <v>1</v>
      </c>
      <c r="BB75" s="12" t="b">
        <f t="shared" ref="BB75:BB105" ca="1" si="187">IF($AT75=0,TRUE,"")</f>
        <v>1</v>
      </c>
      <c r="BE75" s="12">
        <v>66</v>
      </c>
      <c r="BF75" s="14">
        <f t="shared" si="28"/>
        <v>36892.677083333176</v>
      </c>
      <c r="BG75" s="12" t="str">
        <f t="shared" ref="BG75:BG105" ca="1" si="188">IF($AR75=1,TRUE,"")</f>
        <v/>
      </c>
      <c r="BH75" s="12" t="str">
        <f t="shared" ref="BH75:BH105" ca="1" si="189">IF($AS75=1,TRUE,"")</f>
        <v/>
      </c>
      <c r="BI75" s="12" t="str">
        <f t="shared" ref="BI75:BI105" ca="1" si="190">IF($AT75=1,TRUE,"")</f>
        <v/>
      </c>
      <c r="BL75" s="12">
        <v>66</v>
      </c>
      <c r="BM75" s="14">
        <f t="shared" si="29"/>
        <v>36892.677083333176</v>
      </c>
      <c r="BN75" s="12" t="str">
        <f t="shared" ref="BN75:BN105" ca="1" si="191">IF($AR75=2,TRUE,"")</f>
        <v/>
      </c>
      <c r="BO75" s="12" t="str">
        <f t="shared" ref="BO75:BO105" ca="1" si="192">IF($AS75=2,TRUE,"")</f>
        <v/>
      </c>
      <c r="BP75" s="12" t="str">
        <f t="shared" ref="BP75:BP105" ca="1" si="193">IF($AT75=2,TRUE,"")</f>
        <v/>
      </c>
      <c r="BS75" s="12">
        <v>66</v>
      </c>
      <c r="BT75" s="14">
        <f t="shared" si="30"/>
        <v>36892.677083333176</v>
      </c>
      <c r="BU75" s="12" t="str">
        <f t="shared" ref="BU75:BU105" ca="1" si="194">IF($AR75=3,TRUE,"")</f>
        <v/>
      </c>
      <c r="BV75" s="12" t="str">
        <f t="shared" ref="BV75:BV105" ca="1" si="195">IF($AS75=3,TRUE,"")</f>
        <v/>
      </c>
      <c r="BW75" s="12" t="str">
        <f t="shared" ref="BW75:BW105" ca="1" si="196">IF($AT75=3,TRUE,"")</f>
        <v/>
      </c>
      <c r="CA75" s="15"/>
      <c r="CH75" s="15"/>
      <c r="CO75" s="15"/>
      <c r="CV75" s="15"/>
    </row>
    <row r="76" spans="35:100" ht="16.5" customHeight="1">
      <c r="AI76" s="15"/>
      <c r="AP76" s="12">
        <v>67</v>
      </c>
      <c r="AQ76" s="14">
        <f t="shared" ref="AQ76:AQ105" si="197">AQ75+1/24/4</f>
        <v>36892.68749999984</v>
      </c>
      <c r="AR76" s="12" cm="1">
        <f t="array" aca="1" ref="AR76" ca="1">INDIRECT(ADDRESS(2+$AP76,1+MATCH($AB$9,INDIRECT($AB$16&amp;"!$B$2:$R$2"),0),1,1,$AB$16))</f>
        <v>0</v>
      </c>
      <c r="AS76" s="12" cm="1">
        <f t="array" aca="1" ref="AS76" ca="1">INDIRECT(ADDRESS(2+$AP76,1+MATCH($AB$9,INDIRECT($AB$17&amp;"!$B$2:$R$2"),0),1,1,$AB$17))</f>
        <v>0</v>
      </c>
      <c r="AT76" s="12" cm="1">
        <f t="array" aca="1" ref="AT76" ca="1">INDIRECT(ADDRESS(2+$AP76,1+MATCH($AB$9,INDIRECT($AB$18&amp;"!$B$2:$R$2"),0),1,1,$AB$18))</f>
        <v>0</v>
      </c>
      <c r="AX76" s="12">
        <v>67</v>
      </c>
      <c r="AY76" s="14">
        <f t="shared" ref="AY76:AY105" si="198">AY75+1/24/4</f>
        <v>36892.68749999984</v>
      </c>
      <c r="AZ76" s="12" t="b">
        <f t="shared" ca="1" si="185"/>
        <v>1</v>
      </c>
      <c r="BA76" s="12" t="b">
        <f t="shared" ca="1" si="186"/>
        <v>1</v>
      </c>
      <c r="BB76" s="12" t="b">
        <f t="shared" ca="1" si="187"/>
        <v>1</v>
      </c>
      <c r="BE76" s="12">
        <v>67</v>
      </c>
      <c r="BF76" s="14">
        <f t="shared" ref="BF76:BF105" si="199">BF75+1/24/4</f>
        <v>36892.68749999984</v>
      </c>
      <c r="BG76" s="12" t="str">
        <f t="shared" ca="1" si="188"/>
        <v/>
      </c>
      <c r="BH76" s="12" t="str">
        <f t="shared" ca="1" si="189"/>
        <v/>
      </c>
      <c r="BI76" s="12" t="str">
        <f t="shared" ca="1" si="190"/>
        <v/>
      </c>
      <c r="BL76" s="12">
        <v>67</v>
      </c>
      <c r="BM76" s="14">
        <f t="shared" ref="BM76:BM105" si="200">BM75+1/24/4</f>
        <v>36892.68749999984</v>
      </c>
      <c r="BN76" s="12" t="str">
        <f t="shared" ca="1" si="191"/>
        <v/>
      </c>
      <c r="BO76" s="12" t="str">
        <f t="shared" ca="1" si="192"/>
        <v/>
      </c>
      <c r="BP76" s="12" t="str">
        <f t="shared" ca="1" si="193"/>
        <v/>
      </c>
      <c r="BS76" s="12">
        <v>67</v>
      </c>
      <c r="BT76" s="14">
        <f t="shared" ref="BT76:BT105" si="201">BT75+1/24/4</f>
        <v>36892.68749999984</v>
      </c>
      <c r="BU76" s="12" t="str">
        <f t="shared" ca="1" si="194"/>
        <v/>
      </c>
      <c r="BV76" s="12" t="str">
        <f t="shared" ca="1" si="195"/>
        <v/>
      </c>
      <c r="BW76" s="12" t="str">
        <f t="shared" ca="1" si="196"/>
        <v/>
      </c>
      <c r="CA76" s="15"/>
      <c r="CH76" s="15"/>
      <c r="CO76" s="15"/>
      <c r="CV76" s="15"/>
    </row>
    <row r="77" spans="35:100" ht="16.5" customHeight="1">
      <c r="AI77" s="15"/>
      <c r="AP77" s="12">
        <v>68</v>
      </c>
      <c r="AQ77" s="14">
        <f t="shared" si="197"/>
        <v>36892.697916666504</v>
      </c>
      <c r="AR77" s="12" cm="1">
        <f t="array" aca="1" ref="AR77" ca="1">INDIRECT(ADDRESS(2+$AP77,1+MATCH($AB$9,INDIRECT($AB$16&amp;"!$B$2:$R$2"),0),1,1,$AB$16))</f>
        <v>0</v>
      </c>
      <c r="AS77" s="12" cm="1">
        <f t="array" aca="1" ref="AS77" ca="1">INDIRECT(ADDRESS(2+$AP77,1+MATCH($AB$9,INDIRECT($AB$17&amp;"!$B$2:$R$2"),0),1,1,$AB$17))</f>
        <v>0</v>
      </c>
      <c r="AT77" s="12" cm="1">
        <f t="array" aca="1" ref="AT77" ca="1">INDIRECT(ADDRESS(2+$AP77,1+MATCH($AB$9,INDIRECT($AB$18&amp;"!$B$2:$R$2"),0),1,1,$AB$18))</f>
        <v>0</v>
      </c>
      <c r="AX77" s="12">
        <v>68</v>
      </c>
      <c r="AY77" s="14">
        <f t="shared" si="198"/>
        <v>36892.697916666504</v>
      </c>
      <c r="AZ77" s="12" t="b">
        <f t="shared" ca="1" si="185"/>
        <v>1</v>
      </c>
      <c r="BA77" s="12" t="b">
        <f t="shared" ca="1" si="186"/>
        <v>1</v>
      </c>
      <c r="BB77" s="12" t="b">
        <f t="shared" ca="1" si="187"/>
        <v>1</v>
      </c>
      <c r="BE77" s="12">
        <v>68</v>
      </c>
      <c r="BF77" s="14">
        <f t="shared" si="199"/>
        <v>36892.697916666504</v>
      </c>
      <c r="BG77" s="12" t="str">
        <f t="shared" ca="1" si="188"/>
        <v/>
      </c>
      <c r="BH77" s="12" t="str">
        <f t="shared" ca="1" si="189"/>
        <v/>
      </c>
      <c r="BI77" s="12" t="str">
        <f t="shared" ca="1" si="190"/>
        <v/>
      </c>
      <c r="BL77" s="12">
        <v>68</v>
      </c>
      <c r="BM77" s="14">
        <f t="shared" si="200"/>
        <v>36892.697916666504</v>
      </c>
      <c r="BN77" s="12" t="str">
        <f t="shared" ca="1" si="191"/>
        <v/>
      </c>
      <c r="BO77" s="12" t="str">
        <f t="shared" ca="1" si="192"/>
        <v/>
      </c>
      <c r="BP77" s="12" t="str">
        <f t="shared" ca="1" si="193"/>
        <v/>
      </c>
      <c r="BS77" s="12">
        <v>68</v>
      </c>
      <c r="BT77" s="14">
        <f t="shared" si="201"/>
        <v>36892.697916666504</v>
      </c>
      <c r="BU77" s="12" t="str">
        <f t="shared" ca="1" si="194"/>
        <v/>
      </c>
      <c r="BV77" s="12" t="str">
        <f t="shared" ca="1" si="195"/>
        <v/>
      </c>
      <c r="BW77" s="12" t="str">
        <f t="shared" ca="1" si="196"/>
        <v/>
      </c>
      <c r="CA77" s="15"/>
      <c r="CH77" s="15"/>
      <c r="CO77" s="15"/>
      <c r="CV77" s="15"/>
    </row>
    <row r="78" spans="35:100" ht="16.5" customHeight="1">
      <c r="AI78" s="15"/>
      <c r="AP78" s="12">
        <v>69</v>
      </c>
      <c r="AQ78" s="14">
        <f t="shared" si="197"/>
        <v>36892.708333333168</v>
      </c>
      <c r="AR78" s="12" cm="1">
        <f t="array" aca="1" ref="AR78" ca="1">INDIRECT(ADDRESS(2+$AP78,1+MATCH($AB$9,INDIRECT($AB$16&amp;"!$B$2:$R$2"),0),1,1,$AB$16))</f>
        <v>0</v>
      </c>
      <c r="AS78" s="12" cm="1">
        <f t="array" aca="1" ref="AS78" ca="1">INDIRECT(ADDRESS(2+$AP78,1+MATCH($AB$9,INDIRECT($AB$17&amp;"!$B$2:$R$2"),0),1,1,$AB$17))</f>
        <v>0</v>
      </c>
      <c r="AT78" s="12" cm="1">
        <f t="array" aca="1" ref="AT78" ca="1">INDIRECT(ADDRESS(2+$AP78,1+MATCH($AB$9,INDIRECT($AB$18&amp;"!$B$2:$R$2"),0),1,1,$AB$18))</f>
        <v>0</v>
      </c>
      <c r="AX78" s="12">
        <v>69</v>
      </c>
      <c r="AY78" s="14">
        <f t="shared" si="198"/>
        <v>36892.708333333168</v>
      </c>
      <c r="AZ78" s="12" t="b">
        <f t="shared" ca="1" si="185"/>
        <v>1</v>
      </c>
      <c r="BA78" s="12" t="b">
        <f t="shared" ca="1" si="186"/>
        <v>1</v>
      </c>
      <c r="BB78" s="12" t="b">
        <f t="shared" ca="1" si="187"/>
        <v>1</v>
      </c>
      <c r="BE78" s="12">
        <v>69</v>
      </c>
      <c r="BF78" s="14">
        <f t="shared" si="199"/>
        <v>36892.708333333168</v>
      </c>
      <c r="BG78" s="12" t="str">
        <f t="shared" ca="1" si="188"/>
        <v/>
      </c>
      <c r="BH78" s="12" t="str">
        <f t="shared" ca="1" si="189"/>
        <v/>
      </c>
      <c r="BI78" s="12" t="str">
        <f t="shared" ca="1" si="190"/>
        <v/>
      </c>
      <c r="BL78" s="12">
        <v>69</v>
      </c>
      <c r="BM78" s="14">
        <f t="shared" si="200"/>
        <v>36892.708333333168</v>
      </c>
      <c r="BN78" s="12" t="str">
        <f t="shared" ca="1" si="191"/>
        <v/>
      </c>
      <c r="BO78" s="12" t="str">
        <f t="shared" ca="1" si="192"/>
        <v/>
      </c>
      <c r="BP78" s="12" t="str">
        <f t="shared" ca="1" si="193"/>
        <v/>
      </c>
      <c r="BS78" s="12">
        <v>69</v>
      </c>
      <c r="BT78" s="14">
        <f t="shared" si="201"/>
        <v>36892.708333333168</v>
      </c>
      <c r="BU78" s="12" t="str">
        <f t="shared" ca="1" si="194"/>
        <v/>
      </c>
      <c r="BV78" s="12" t="str">
        <f t="shared" ca="1" si="195"/>
        <v/>
      </c>
      <c r="BW78" s="12" t="str">
        <f t="shared" ca="1" si="196"/>
        <v/>
      </c>
      <c r="CA78" s="15"/>
      <c r="CH78" s="15"/>
      <c r="CO78" s="15"/>
      <c r="CV78" s="15"/>
    </row>
    <row r="79" spans="35:100" ht="16.5" customHeight="1">
      <c r="AI79" s="15"/>
      <c r="AP79" s="12">
        <v>70</v>
      </c>
      <c r="AQ79" s="14">
        <f t="shared" si="197"/>
        <v>36892.718749999833</v>
      </c>
      <c r="AR79" s="12" cm="1">
        <f t="array" aca="1" ref="AR79" ca="1">INDIRECT(ADDRESS(2+$AP79,1+MATCH($AB$9,INDIRECT($AB$16&amp;"!$B$2:$R$2"),0),1,1,$AB$16))</f>
        <v>0</v>
      </c>
      <c r="AS79" s="12" cm="1">
        <f t="array" aca="1" ref="AS79" ca="1">INDIRECT(ADDRESS(2+$AP79,1+MATCH($AB$9,INDIRECT($AB$17&amp;"!$B$2:$R$2"),0),1,1,$AB$17))</f>
        <v>0</v>
      </c>
      <c r="AT79" s="12" cm="1">
        <f t="array" aca="1" ref="AT79" ca="1">INDIRECT(ADDRESS(2+$AP79,1+MATCH($AB$9,INDIRECT($AB$18&amp;"!$B$2:$R$2"),0),1,1,$AB$18))</f>
        <v>0</v>
      </c>
      <c r="AX79" s="12">
        <v>70</v>
      </c>
      <c r="AY79" s="14">
        <f t="shared" si="198"/>
        <v>36892.718749999833</v>
      </c>
      <c r="AZ79" s="12" t="b">
        <f t="shared" ca="1" si="185"/>
        <v>1</v>
      </c>
      <c r="BA79" s="12" t="b">
        <f t="shared" ca="1" si="186"/>
        <v>1</v>
      </c>
      <c r="BB79" s="12" t="b">
        <f t="shared" ca="1" si="187"/>
        <v>1</v>
      </c>
      <c r="BE79" s="12">
        <v>70</v>
      </c>
      <c r="BF79" s="14">
        <f t="shared" si="199"/>
        <v>36892.718749999833</v>
      </c>
      <c r="BG79" s="12" t="str">
        <f t="shared" ca="1" si="188"/>
        <v/>
      </c>
      <c r="BH79" s="12" t="str">
        <f t="shared" ca="1" si="189"/>
        <v/>
      </c>
      <c r="BI79" s="12" t="str">
        <f t="shared" ca="1" si="190"/>
        <v/>
      </c>
      <c r="BL79" s="12">
        <v>70</v>
      </c>
      <c r="BM79" s="14">
        <f t="shared" si="200"/>
        <v>36892.718749999833</v>
      </c>
      <c r="BN79" s="12" t="str">
        <f t="shared" ca="1" si="191"/>
        <v/>
      </c>
      <c r="BO79" s="12" t="str">
        <f t="shared" ca="1" si="192"/>
        <v/>
      </c>
      <c r="BP79" s="12" t="str">
        <f t="shared" ca="1" si="193"/>
        <v/>
      </c>
      <c r="BS79" s="12">
        <v>70</v>
      </c>
      <c r="BT79" s="14">
        <f t="shared" si="201"/>
        <v>36892.718749999833</v>
      </c>
      <c r="BU79" s="12" t="str">
        <f t="shared" ca="1" si="194"/>
        <v/>
      </c>
      <c r="BV79" s="12" t="str">
        <f t="shared" ca="1" si="195"/>
        <v/>
      </c>
      <c r="BW79" s="12" t="str">
        <f t="shared" ca="1" si="196"/>
        <v/>
      </c>
      <c r="CA79" s="15"/>
      <c r="CH79" s="15"/>
      <c r="CO79" s="15"/>
      <c r="CV79" s="15"/>
    </row>
    <row r="80" spans="35:100" ht="16.5" customHeight="1">
      <c r="AI80" s="15"/>
      <c r="AP80" s="12">
        <v>71</v>
      </c>
      <c r="AQ80" s="14">
        <f t="shared" si="197"/>
        <v>36892.729166666497</v>
      </c>
      <c r="AR80" s="12" cm="1">
        <f t="array" aca="1" ref="AR80" ca="1">INDIRECT(ADDRESS(2+$AP80,1+MATCH($AB$9,INDIRECT($AB$16&amp;"!$B$2:$R$2"),0),1,1,$AB$16))</f>
        <v>0</v>
      </c>
      <c r="AS80" s="12" cm="1">
        <f t="array" aca="1" ref="AS80" ca="1">INDIRECT(ADDRESS(2+$AP80,1+MATCH($AB$9,INDIRECT($AB$17&amp;"!$B$2:$R$2"),0),1,1,$AB$17))</f>
        <v>0</v>
      </c>
      <c r="AT80" s="12" cm="1">
        <f t="array" aca="1" ref="AT80" ca="1">INDIRECT(ADDRESS(2+$AP80,1+MATCH($AB$9,INDIRECT($AB$18&amp;"!$B$2:$R$2"),0),1,1,$AB$18))</f>
        <v>0</v>
      </c>
      <c r="AX80" s="12">
        <v>71</v>
      </c>
      <c r="AY80" s="14">
        <f t="shared" si="198"/>
        <v>36892.729166666497</v>
      </c>
      <c r="AZ80" s="12" t="b">
        <f t="shared" ca="1" si="185"/>
        <v>1</v>
      </c>
      <c r="BA80" s="12" t="b">
        <f t="shared" ca="1" si="186"/>
        <v>1</v>
      </c>
      <c r="BB80" s="12" t="b">
        <f t="shared" ca="1" si="187"/>
        <v>1</v>
      </c>
      <c r="BE80" s="12">
        <v>71</v>
      </c>
      <c r="BF80" s="14">
        <f t="shared" si="199"/>
        <v>36892.729166666497</v>
      </c>
      <c r="BG80" s="12" t="str">
        <f t="shared" ca="1" si="188"/>
        <v/>
      </c>
      <c r="BH80" s="12" t="str">
        <f t="shared" ca="1" si="189"/>
        <v/>
      </c>
      <c r="BI80" s="12" t="str">
        <f t="shared" ca="1" si="190"/>
        <v/>
      </c>
      <c r="BL80" s="12">
        <v>71</v>
      </c>
      <c r="BM80" s="14">
        <f t="shared" si="200"/>
        <v>36892.729166666497</v>
      </c>
      <c r="BN80" s="12" t="str">
        <f t="shared" ca="1" si="191"/>
        <v/>
      </c>
      <c r="BO80" s="12" t="str">
        <f t="shared" ca="1" si="192"/>
        <v/>
      </c>
      <c r="BP80" s="12" t="str">
        <f t="shared" ca="1" si="193"/>
        <v/>
      </c>
      <c r="BS80" s="12">
        <v>71</v>
      </c>
      <c r="BT80" s="14">
        <f t="shared" si="201"/>
        <v>36892.729166666497</v>
      </c>
      <c r="BU80" s="12" t="str">
        <f t="shared" ca="1" si="194"/>
        <v/>
      </c>
      <c r="BV80" s="12" t="str">
        <f t="shared" ca="1" si="195"/>
        <v/>
      </c>
      <c r="BW80" s="12" t="str">
        <f t="shared" ca="1" si="196"/>
        <v/>
      </c>
      <c r="CA80" s="15"/>
      <c r="CH80" s="15"/>
      <c r="CO80" s="15"/>
      <c r="CV80" s="15"/>
    </row>
    <row r="81" spans="35:100" ht="16.5" customHeight="1">
      <c r="AI81" s="15"/>
      <c r="AP81" s="12">
        <v>72</v>
      </c>
      <c r="AQ81" s="14">
        <f t="shared" si="197"/>
        <v>36892.739583333161</v>
      </c>
      <c r="AR81" s="12" cm="1">
        <f t="array" aca="1" ref="AR81" ca="1">INDIRECT(ADDRESS(2+$AP81,1+MATCH($AB$9,INDIRECT($AB$16&amp;"!$B$2:$R$2"),0),1,1,$AB$16))</f>
        <v>0</v>
      </c>
      <c r="AS81" s="12" cm="1">
        <f t="array" aca="1" ref="AS81" ca="1">INDIRECT(ADDRESS(2+$AP81,1+MATCH($AB$9,INDIRECT($AB$17&amp;"!$B$2:$R$2"),0),1,1,$AB$17))</f>
        <v>0</v>
      </c>
      <c r="AT81" s="12" cm="1">
        <f t="array" aca="1" ref="AT81" ca="1">INDIRECT(ADDRESS(2+$AP81,1+MATCH($AB$9,INDIRECT($AB$18&amp;"!$B$2:$R$2"),0),1,1,$AB$18))</f>
        <v>0</v>
      </c>
      <c r="AX81" s="12">
        <v>72</v>
      </c>
      <c r="AY81" s="14">
        <f t="shared" si="198"/>
        <v>36892.739583333161</v>
      </c>
      <c r="AZ81" s="12" t="b">
        <f t="shared" ca="1" si="185"/>
        <v>1</v>
      </c>
      <c r="BA81" s="12" t="b">
        <f t="shared" ca="1" si="186"/>
        <v>1</v>
      </c>
      <c r="BB81" s="12" t="b">
        <f t="shared" ca="1" si="187"/>
        <v>1</v>
      </c>
      <c r="BE81" s="12">
        <v>72</v>
      </c>
      <c r="BF81" s="14">
        <f t="shared" si="199"/>
        <v>36892.739583333161</v>
      </c>
      <c r="BG81" s="12" t="str">
        <f t="shared" ca="1" si="188"/>
        <v/>
      </c>
      <c r="BH81" s="12" t="str">
        <f t="shared" ca="1" si="189"/>
        <v/>
      </c>
      <c r="BI81" s="12" t="str">
        <f t="shared" ca="1" si="190"/>
        <v/>
      </c>
      <c r="BL81" s="12">
        <v>72</v>
      </c>
      <c r="BM81" s="14">
        <f t="shared" si="200"/>
        <v>36892.739583333161</v>
      </c>
      <c r="BN81" s="12" t="str">
        <f t="shared" ca="1" si="191"/>
        <v/>
      </c>
      <c r="BO81" s="12" t="str">
        <f t="shared" ca="1" si="192"/>
        <v/>
      </c>
      <c r="BP81" s="12" t="str">
        <f t="shared" ca="1" si="193"/>
        <v/>
      </c>
      <c r="BS81" s="12">
        <v>72</v>
      </c>
      <c r="BT81" s="14">
        <f t="shared" si="201"/>
        <v>36892.739583333161</v>
      </c>
      <c r="BU81" s="12" t="str">
        <f t="shared" ca="1" si="194"/>
        <v/>
      </c>
      <c r="BV81" s="12" t="str">
        <f t="shared" ca="1" si="195"/>
        <v/>
      </c>
      <c r="BW81" s="12" t="str">
        <f t="shared" ca="1" si="196"/>
        <v/>
      </c>
      <c r="CA81" s="15"/>
      <c r="CH81" s="15"/>
      <c r="CO81" s="15"/>
      <c r="CV81" s="15"/>
    </row>
    <row r="82" spans="35:100" ht="16.5" customHeight="1">
      <c r="AI82" s="15"/>
      <c r="AP82" s="12">
        <v>73</v>
      </c>
      <c r="AQ82" s="14">
        <f t="shared" si="197"/>
        <v>36892.749999999825</v>
      </c>
      <c r="AR82" s="12" cm="1">
        <f t="array" aca="1" ref="AR82" ca="1">INDIRECT(ADDRESS(2+$AP82,1+MATCH($AB$9,INDIRECT($AB$16&amp;"!$B$2:$R$2"),0),1,1,$AB$16))</f>
        <v>0</v>
      </c>
      <c r="AS82" s="12" cm="1">
        <f t="array" aca="1" ref="AS82" ca="1">INDIRECT(ADDRESS(2+$AP82,1+MATCH($AB$9,INDIRECT($AB$17&amp;"!$B$2:$R$2"),0),1,1,$AB$17))</f>
        <v>0</v>
      </c>
      <c r="AT82" s="12" cm="1">
        <f t="array" aca="1" ref="AT82" ca="1">INDIRECT(ADDRESS(2+$AP82,1+MATCH($AB$9,INDIRECT($AB$18&amp;"!$B$2:$R$2"),0),1,1,$AB$18))</f>
        <v>0</v>
      </c>
      <c r="AX82" s="12">
        <v>73</v>
      </c>
      <c r="AY82" s="14">
        <f t="shared" si="198"/>
        <v>36892.749999999825</v>
      </c>
      <c r="AZ82" s="12" t="b">
        <f t="shared" ca="1" si="185"/>
        <v>1</v>
      </c>
      <c r="BA82" s="12" t="b">
        <f t="shared" ca="1" si="186"/>
        <v>1</v>
      </c>
      <c r="BB82" s="12" t="b">
        <f t="shared" ca="1" si="187"/>
        <v>1</v>
      </c>
      <c r="BE82" s="12">
        <v>73</v>
      </c>
      <c r="BF82" s="14">
        <f t="shared" si="199"/>
        <v>36892.749999999825</v>
      </c>
      <c r="BG82" s="12" t="str">
        <f t="shared" ca="1" si="188"/>
        <v/>
      </c>
      <c r="BH82" s="12" t="str">
        <f t="shared" ca="1" si="189"/>
        <v/>
      </c>
      <c r="BI82" s="12" t="str">
        <f t="shared" ca="1" si="190"/>
        <v/>
      </c>
      <c r="BL82" s="12">
        <v>73</v>
      </c>
      <c r="BM82" s="14">
        <f t="shared" si="200"/>
        <v>36892.749999999825</v>
      </c>
      <c r="BN82" s="12" t="str">
        <f t="shared" ca="1" si="191"/>
        <v/>
      </c>
      <c r="BO82" s="12" t="str">
        <f t="shared" ca="1" si="192"/>
        <v/>
      </c>
      <c r="BP82" s="12" t="str">
        <f t="shared" ca="1" si="193"/>
        <v/>
      </c>
      <c r="BS82" s="12">
        <v>73</v>
      </c>
      <c r="BT82" s="14">
        <f t="shared" si="201"/>
        <v>36892.749999999825</v>
      </c>
      <c r="BU82" s="12" t="str">
        <f t="shared" ca="1" si="194"/>
        <v/>
      </c>
      <c r="BV82" s="12" t="str">
        <f t="shared" ca="1" si="195"/>
        <v/>
      </c>
      <c r="BW82" s="12" t="str">
        <f t="shared" ca="1" si="196"/>
        <v/>
      </c>
      <c r="CA82" s="15"/>
      <c r="CH82" s="15"/>
      <c r="CO82" s="15"/>
      <c r="CV82" s="15"/>
    </row>
    <row r="83" spans="35:100" ht="16.5" customHeight="1">
      <c r="AI83" s="15"/>
      <c r="AP83" s="12">
        <v>74</v>
      </c>
      <c r="AQ83" s="14">
        <f t="shared" si="197"/>
        <v>36892.76041666649</v>
      </c>
      <c r="AR83" s="12" cm="1">
        <f t="array" aca="1" ref="AR83" ca="1">INDIRECT(ADDRESS(2+$AP83,1+MATCH($AB$9,INDIRECT($AB$16&amp;"!$B$2:$R$2"),0),1,1,$AB$16))</f>
        <v>0</v>
      </c>
      <c r="AS83" s="12" cm="1">
        <f t="array" aca="1" ref="AS83" ca="1">INDIRECT(ADDRESS(2+$AP83,1+MATCH($AB$9,INDIRECT($AB$17&amp;"!$B$2:$R$2"),0),1,1,$AB$17))</f>
        <v>0</v>
      </c>
      <c r="AT83" s="12" cm="1">
        <f t="array" aca="1" ref="AT83" ca="1">INDIRECT(ADDRESS(2+$AP83,1+MATCH($AB$9,INDIRECT($AB$18&amp;"!$B$2:$R$2"),0),1,1,$AB$18))</f>
        <v>0</v>
      </c>
      <c r="AX83" s="12">
        <v>74</v>
      </c>
      <c r="AY83" s="14">
        <f t="shared" si="198"/>
        <v>36892.76041666649</v>
      </c>
      <c r="AZ83" s="12" t="b">
        <f t="shared" ca="1" si="185"/>
        <v>1</v>
      </c>
      <c r="BA83" s="12" t="b">
        <f t="shared" ca="1" si="186"/>
        <v>1</v>
      </c>
      <c r="BB83" s="12" t="b">
        <f t="shared" ca="1" si="187"/>
        <v>1</v>
      </c>
      <c r="BE83" s="12">
        <v>74</v>
      </c>
      <c r="BF83" s="14">
        <f t="shared" si="199"/>
        <v>36892.76041666649</v>
      </c>
      <c r="BG83" s="12" t="str">
        <f t="shared" ca="1" si="188"/>
        <v/>
      </c>
      <c r="BH83" s="12" t="str">
        <f t="shared" ca="1" si="189"/>
        <v/>
      </c>
      <c r="BI83" s="12" t="str">
        <f t="shared" ca="1" si="190"/>
        <v/>
      </c>
      <c r="BL83" s="12">
        <v>74</v>
      </c>
      <c r="BM83" s="14">
        <f t="shared" si="200"/>
        <v>36892.76041666649</v>
      </c>
      <c r="BN83" s="12" t="str">
        <f t="shared" ca="1" si="191"/>
        <v/>
      </c>
      <c r="BO83" s="12" t="str">
        <f t="shared" ca="1" si="192"/>
        <v/>
      </c>
      <c r="BP83" s="12" t="str">
        <f t="shared" ca="1" si="193"/>
        <v/>
      </c>
      <c r="BS83" s="12">
        <v>74</v>
      </c>
      <c r="BT83" s="14">
        <f t="shared" si="201"/>
        <v>36892.76041666649</v>
      </c>
      <c r="BU83" s="12" t="str">
        <f t="shared" ca="1" si="194"/>
        <v/>
      </c>
      <c r="BV83" s="12" t="str">
        <f t="shared" ca="1" si="195"/>
        <v/>
      </c>
      <c r="BW83" s="12" t="str">
        <f t="shared" ca="1" si="196"/>
        <v/>
      </c>
      <c r="CA83" s="15"/>
      <c r="CH83" s="15"/>
      <c r="CO83" s="15"/>
      <c r="CV83" s="15"/>
    </row>
    <row r="84" spans="35:100" ht="16.5" customHeight="1">
      <c r="AI84" s="15"/>
      <c r="AP84" s="12">
        <v>75</v>
      </c>
      <c r="AQ84" s="14">
        <f t="shared" si="197"/>
        <v>36892.770833333154</v>
      </c>
      <c r="AR84" s="12" cm="1">
        <f t="array" aca="1" ref="AR84" ca="1">INDIRECT(ADDRESS(2+$AP84,1+MATCH($AB$9,INDIRECT($AB$16&amp;"!$B$2:$R$2"),0),1,1,$AB$16))</f>
        <v>0</v>
      </c>
      <c r="AS84" s="12" cm="1">
        <f t="array" aca="1" ref="AS84" ca="1">INDIRECT(ADDRESS(2+$AP84,1+MATCH($AB$9,INDIRECT($AB$17&amp;"!$B$2:$R$2"),0),1,1,$AB$17))</f>
        <v>0</v>
      </c>
      <c r="AT84" s="12" cm="1">
        <f t="array" aca="1" ref="AT84" ca="1">INDIRECT(ADDRESS(2+$AP84,1+MATCH($AB$9,INDIRECT($AB$18&amp;"!$B$2:$R$2"),0),1,1,$AB$18))</f>
        <v>0</v>
      </c>
      <c r="AX84" s="12">
        <v>75</v>
      </c>
      <c r="AY84" s="14">
        <f t="shared" si="198"/>
        <v>36892.770833333154</v>
      </c>
      <c r="AZ84" s="12" t="b">
        <f t="shared" ca="1" si="185"/>
        <v>1</v>
      </c>
      <c r="BA84" s="12" t="b">
        <f t="shared" ca="1" si="186"/>
        <v>1</v>
      </c>
      <c r="BB84" s="12" t="b">
        <f t="shared" ca="1" si="187"/>
        <v>1</v>
      </c>
      <c r="BE84" s="12">
        <v>75</v>
      </c>
      <c r="BF84" s="14">
        <f t="shared" si="199"/>
        <v>36892.770833333154</v>
      </c>
      <c r="BG84" s="12" t="str">
        <f t="shared" ca="1" si="188"/>
        <v/>
      </c>
      <c r="BH84" s="12" t="str">
        <f t="shared" ca="1" si="189"/>
        <v/>
      </c>
      <c r="BI84" s="12" t="str">
        <f t="shared" ca="1" si="190"/>
        <v/>
      </c>
      <c r="BL84" s="12">
        <v>75</v>
      </c>
      <c r="BM84" s="14">
        <f t="shared" si="200"/>
        <v>36892.770833333154</v>
      </c>
      <c r="BN84" s="12" t="str">
        <f t="shared" ca="1" si="191"/>
        <v/>
      </c>
      <c r="BO84" s="12" t="str">
        <f t="shared" ca="1" si="192"/>
        <v/>
      </c>
      <c r="BP84" s="12" t="str">
        <f t="shared" ca="1" si="193"/>
        <v/>
      </c>
      <c r="BS84" s="12">
        <v>75</v>
      </c>
      <c r="BT84" s="14">
        <f t="shared" si="201"/>
        <v>36892.770833333154</v>
      </c>
      <c r="BU84" s="12" t="str">
        <f t="shared" ca="1" si="194"/>
        <v/>
      </c>
      <c r="BV84" s="12" t="str">
        <f t="shared" ca="1" si="195"/>
        <v/>
      </c>
      <c r="BW84" s="12" t="str">
        <f t="shared" ca="1" si="196"/>
        <v/>
      </c>
      <c r="CA84" s="15"/>
      <c r="CH84" s="15"/>
      <c r="CO84" s="15"/>
      <c r="CV84" s="15"/>
    </row>
    <row r="85" spans="35:100" ht="16.5" customHeight="1">
      <c r="AI85" s="15"/>
      <c r="AP85" s="12">
        <v>76</v>
      </c>
      <c r="AQ85" s="14">
        <f t="shared" si="197"/>
        <v>36892.781249999818</v>
      </c>
      <c r="AR85" s="12" cm="1">
        <f t="array" aca="1" ref="AR85" ca="1">INDIRECT(ADDRESS(2+$AP85,1+MATCH($AB$9,INDIRECT($AB$16&amp;"!$B$2:$R$2"),0),1,1,$AB$16))</f>
        <v>0</v>
      </c>
      <c r="AS85" s="12" cm="1">
        <f t="array" aca="1" ref="AS85" ca="1">INDIRECT(ADDRESS(2+$AP85,1+MATCH($AB$9,INDIRECT($AB$17&amp;"!$B$2:$R$2"),0),1,1,$AB$17))</f>
        <v>0</v>
      </c>
      <c r="AT85" s="12" cm="1">
        <f t="array" aca="1" ref="AT85" ca="1">INDIRECT(ADDRESS(2+$AP85,1+MATCH($AB$9,INDIRECT($AB$18&amp;"!$B$2:$R$2"),0),1,1,$AB$18))</f>
        <v>0</v>
      </c>
      <c r="AX85" s="12">
        <v>76</v>
      </c>
      <c r="AY85" s="14">
        <f t="shared" si="198"/>
        <v>36892.781249999818</v>
      </c>
      <c r="AZ85" s="12" t="b">
        <f t="shared" ca="1" si="185"/>
        <v>1</v>
      </c>
      <c r="BA85" s="12" t="b">
        <f t="shared" ca="1" si="186"/>
        <v>1</v>
      </c>
      <c r="BB85" s="12" t="b">
        <f t="shared" ca="1" si="187"/>
        <v>1</v>
      </c>
      <c r="BE85" s="12">
        <v>76</v>
      </c>
      <c r="BF85" s="14">
        <f t="shared" si="199"/>
        <v>36892.781249999818</v>
      </c>
      <c r="BG85" s="12" t="str">
        <f t="shared" ca="1" si="188"/>
        <v/>
      </c>
      <c r="BH85" s="12" t="str">
        <f t="shared" ca="1" si="189"/>
        <v/>
      </c>
      <c r="BI85" s="12" t="str">
        <f t="shared" ca="1" si="190"/>
        <v/>
      </c>
      <c r="BL85" s="12">
        <v>76</v>
      </c>
      <c r="BM85" s="14">
        <f t="shared" si="200"/>
        <v>36892.781249999818</v>
      </c>
      <c r="BN85" s="12" t="str">
        <f t="shared" ca="1" si="191"/>
        <v/>
      </c>
      <c r="BO85" s="12" t="str">
        <f t="shared" ca="1" si="192"/>
        <v/>
      </c>
      <c r="BP85" s="12" t="str">
        <f t="shared" ca="1" si="193"/>
        <v/>
      </c>
      <c r="BS85" s="12">
        <v>76</v>
      </c>
      <c r="BT85" s="14">
        <f t="shared" si="201"/>
        <v>36892.781249999818</v>
      </c>
      <c r="BU85" s="12" t="str">
        <f t="shared" ca="1" si="194"/>
        <v/>
      </c>
      <c r="BV85" s="12" t="str">
        <f t="shared" ca="1" si="195"/>
        <v/>
      </c>
      <c r="BW85" s="12" t="str">
        <f t="shared" ca="1" si="196"/>
        <v/>
      </c>
      <c r="CA85" s="15"/>
      <c r="CH85" s="15"/>
      <c r="CO85" s="15"/>
      <c r="CV85" s="15"/>
    </row>
    <row r="86" spans="35:100" ht="16.5" customHeight="1">
      <c r="AI86" s="15"/>
      <c r="AP86" s="12">
        <v>77</v>
      </c>
      <c r="AQ86" s="14">
        <f t="shared" si="197"/>
        <v>36892.791666666482</v>
      </c>
      <c r="AR86" s="12" cm="1">
        <f t="array" aca="1" ref="AR86" ca="1">INDIRECT(ADDRESS(2+$AP86,1+MATCH($AB$9,INDIRECT($AB$16&amp;"!$B$2:$R$2"),0),1,1,$AB$16))</f>
        <v>0</v>
      </c>
      <c r="AS86" s="12" cm="1">
        <f t="array" aca="1" ref="AS86" ca="1">INDIRECT(ADDRESS(2+$AP86,1+MATCH($AB$9,INDIRECT($AB$17&amp;"!$B$2:$R$2"),0),1,1,$AB$17))</f>
        <v>0</v>
      </c>
      <c r="AT86" s="12" cm="1">
        <f t="array" aca="1" ref="AT86" ca="1">INDIRECT(ADDRESS(2+$AP86,1+MATCH($AB$9,INDIRECT($AB$18&amp;"!$B$2:$R$2"),0),1,1,$AB$18))</f>
        <v>0</v>
      </c>
      <c r="AX86" s="12">
        <v>77</v>
      </c>
      <c r="AY86" s="14">
        <f t="shared" si="198"/>
        <v>36892.791666666482</v>
      </c>
      <c r="AZ86" s="12" t="b">
        <f t="shared" ca="1" si="185"/>
        <v>1</v>
      </c>
      <c r="BA86" s="12" t="b">
        <f t="shared" ca="1" si="186"/>
        <v>1</v>
      </c>
      <c r="BB86" s="12" t="b">
        <f t="shared" ca="1" si="187"/>
        <v>1</v>
      </c>
      <c r="BE86" s="12">
        <v>77</v>
      </c>
      <c r="BF86" s="14">
        <f t="shared" si="199"/>
        <v>36892.791666666482</v>
      </c>
      <c r="BG86" s="12" t="str">
        <f t="shared" ca="1" si="188"/>
        <v/>
      </c>
      <c r="BH86" s="12" t="str">
        <f t="shared" ca="1" si="189"/>
        <v/>
      </c>
      <c r="BI86" s="12" t="str">
        <f t="shared" ca="1" si="190"/>
        <v/>
      </c>
      <c r="BL86" s="12">
        <v>77</v>
      </c>
      <c r="BM86" s="14">
        <f t="shared" si="200"/>
        <v>36892.791666666482</v>
      </c>
      <c r="BN86" s="12" t="str">
        <f t="shared" ca="1" si="191"/>
        <v/>
      </c>
      <c r="BO86" s="12" t="str">
        <f t="shared" ca="1" si="192"/>
        <v/>
      </c>
      <c r="BP86" s="12" t="str">
        <f t="shared" ca="1" si="193"/>
        <v/>
      </c>
      <c r="BS86" s="12">
        <v>77</v>
      </c>
      <c r="BT86" s="14">
        <f t="shared" si="201"/>
        <v>36892.791666666482</v>
      </c>
      <c r="BU86" s="12" t="str">
        <f t="shared" ca="1" si="194"/>
        <v/>
      </c>
      <c r="BV86" s="12" t="str">
        <f t="shared" ca="1" si="195"/>
        <v/>
      </c>
      <c r="BW86" s="12" t="str">
        <f t="shared" ca="1" si="196"/>
        <v/>
      </c>
      <c r="CA86" s="15"/>
      <c r="CH86" s="15"/>
      <c r="CO86" s="15"/>
      <c r="CV86" s="15"/>
    </row>
    <row r="87" spans="35:100" ht="16.5" customHeight="1">
      <c r="AI87" s="15"/>
      <c r="AP87" s="12">
        <v>78</v>
      </c>
      <c r="AQ87" s="14">
        <f t="shared" si="197"/>
        <v>36892.802083333147</v>
      </c>
      <c r="AR87" s="12" cm="1">
        <f t="array" aca="1" ref="AR87" ca="1">INDIRECT(ADDRESS(2+$AP87,1+MATCH($AB$9,INDIRECT($AB$16&amp;"!$B$2:$R$2"),0),1,1,$AB$16))</f>
        <v>0</v>
      </c>
      <c r="AS87" s="12" cm="1">
        <f t="array" aca="1" ref="AS87" ca="1">INDIRECT(ADDRESS(2+$AP87,1+MATCH($AB$9,INDIRECT($AB$17&amp;"!$B$2:$R$2"),0),1,1,$AB$17))</f>
        <v>0</v>
      </c>
      <c r="AT87" s="12" cm="1">
        <f t="array" aca="1" ref="AT87" ca="1">INDIRECT(ADDRESS(2+$AP87,1+MATCH($AB$9,INDIRECT($AB$18&amp;"!$B$2:$R$2"),0),1,1,$AB$18))</f>
        <v>0</v>
      </c>
      <c r="AX87" s="12">
        <v>78</v>
      </c>
      <c r="AY87" s="14">
        <f t="shared" si="198"/>
        <v>36892.802083333147</v>
      </c>
      <c r="AZ87" s="12" t="b">
        <f t="shared" ca="1" si="185"/>
        <v>1</v>
      </c>
      <c r="BA87" s="12" t="b">
        <f t="shared" ca="1" si="186"/>
        <v>1</v>
      </c>
      <c r="BB87" s="12" t="b">
        <f t="shared" ca="1" si="187"/>
        <v>1</v>
      </c>
      <c r="BE87" s="12">
        <v>78</v>
      </c>
      <c r="BF87" s="14">
        <f t="shared" si="199"/>
        <v>36892.802083333147</v>
      </c>
      <c r="BG87" s="12" t="str">
        <f t="shared" ca="1" si="188"/>
        <v/>
      </c>
      <c r="BH87" s="12" t="str">
        <f t="shared" ca="1" si="189"/>
        <v/>
      </c>
      <c r="BI87" s="12" t="str">
        <f t="shared" ca="1" si="190"/>
        <v/>
      </c>
      <c r="BL87" s="12">
        <v>78</v>
      </c>
      <c r="BM87" s="14">
        <f t="shared" si="200"/>
        <v>36892.802083333147</v>
      </c>
      <c r="BN87" s="12" t="str">
        <f t="shared" ca="1" si="191"/>
        <v/>
      </c>
      <c r="BO87" s="12" t="str">
        <f t="shared" ca="1" si="192"/>
        <v/>
      </c>
      <c r="BP87" s="12" t="str">
        <f t="shared" ca="1" si="193"/>
        <v/>
      </c>
      <c r="BS87" s="12">
        <v>78</v>
      </c>
      <c r="BT87" s="14">
        <f t="shared" si="201"/>
        <v>36892.802083333147</v>
      </c>
      <c r="BU87" s="12" t="str">
        <f t="shared" ca="1" si="194"/>
        <v/>
      </c>
      <c r="BV87" s="12" t="str">
        <f t="shared" ca="1" si="195"/>
        <v/>
      </c>
      <c r="BW87" s="12" t="str">
        <f t="shared" ca="1" si="196"/>
        <v/>
      </c>
      <c r="CA87" s="15"/>
      <c r="CH87" s="15"/>
      <c r="CO87" s="15"/>
      <c r="CV87" s="15"/>
    </row>
    <row r="88" spans="35:100" ht="16.5" customHeight="1">
      <c r="AI88" s="15"/>
      <c r="AP88" s="12">
        <v>79</v>
      </c>
      <c r="AQ88" s="14">
        <f t="shared" si="197"/>
        <v>36892.812499999811</v>
      </c>
      <c r="AR88" s="12" cm="1">
        <f t="array" aca="1" ref="AR88" ca="1">INDIRECT(ADDRESS(2+$AP88,1+MATCH($AB$9,INDIRECT($AB$16&amp;"!$B$2:$R$2"),0),1,1,$AB$16))</f>
        <v>0</v>
      </c>
      <c r="AS88" s="12" cm="1">
        <f t="array" aca="1" ref="AS88" ca="1">INDIRECT(ADDRESS(2+$AP88,1+MATCH($AB$9,INDIRECT($AB$17&amp;"!$B$2:$R$2"),0),1,1,$AB$17))</f>
        <v>0</v>
      </c>
      <c r="AT88" s="12" cm="1">
        <f t="array" aca="1" ref="AT88" ca="1">INDIRECT(ADDRESS(2+$AP88,1+MATCH($AB$9,INDIRECT($AB$18&amp;"!$B$2:$R$2"),0),1,1,$AB$18))</f>
        <v>0</v>
      </c>
      <c r="AX88" s="12">
        <v>79</v>
      </c>
      <c r="AY88" s="14">
        <f t="shared" si="198"/>
        <v>36892.812499999811</v>
      </c>
      <c r="AZ88" s="12" t="b">
        <f t="shared" ca="1" si="185"/>
        <v>1</v>
      </c>
      <c r="BA88" s="12" t="b">
        <f t="shared" ca="1" si="186"/>
        <v>1</v>
      </c>
      <c r="BB88" s="12" t="b">
        <f t="shared" ca="1" si="187"/>
        <v>1</v>
      </c>
      <c r="BE88" s="12">
        <v>79</v>
      </c>
      <c r="BF88" s="14">
        <f t="shared" si="199"/>
        <v>36892.812499999811</v>
      </c>
      <c r="BG88" s="12" t="str">
        <f t="shared" ca="1" si="188"/>
        <v/>
      </c>
      <c r="BH88" s="12" t="str">
        <f t="shared" ca="1" si="189"/>
        <v/>
      </c>
      <c r="BI88" s="12" t="str">
        <f t="shared" ca="1" si="190"/>
        <v/>
      </c>
      <c r="BL88" s="12">
        <v>79</v>
      </c>
      <c r="BM88" s="14">
        <f t="shared" si="200"/>
        <v>36892.812499999811</v>
      </c>
      <c r="BN88" s="12" t="str">
        <f t="shared" ca="1" si="191"/>
        <v/>
      </c>
      <c r="BO88" s="12" t="str">
        <f t="shared" ca="1" si="192"/>
        <v/>
      </c>
      <c r="BP88" s="12" t="str">
        <f t="shared" ca="1" si="193"/>
        <v/>
      </c>
      <c r="BS88" s="12">
        <v>79</v>
      </c>
      <c r="BT88" s="14">
        <f t="shared" si="201"/>
        <v>36892.812499999811</v>
      </c>
      <c r="BU88" s="12" t="str">
        <f t="shared" ca="1" si="194"/>
        <v/>
      </c>
      <c r="BV88" s="12" t="str">
        <f t="shared" ca="1" si="195"/>
        <v/>
      </c>
      <c r="BW88" s="12" t="str">
        <f t="shared" ca="1" si="196"/>
        <v/>
      </c>
      <c r="CA88" s="15"/>
      <c r="CH88" s="15"/>
      <c r="CO88" s="15"/>
      <c r="CV88" s="15"/>
    </row>
    <row r="89" spans="35:100" ht="16.5" customHeight="1">
      <c r="AI89" s="15"/>
      <c r="AP89" s="12">
        <v>80</v>
      </c>
      <c r="AQ89" s="14">
        <f t="shared" si="197"/>
        <v>36892.822916666475</v>
      </c>
      <c r="AR89" s="12" cm="1">
        <f t="array" aca="1" ref="AR89" ca="1">INDIRECT(ADDRESS(2+$AP89,1+MATCH($AB$9,INDIRECT($AB$16&amp;"!$B$2:$R$2"),0),1,1,$AB$16))</f>
        <v>0</v>
      </c>
      <c r="AS89" s="12" cm="1">
        <f t="array" aca="1" ref="AS89" ca="1">INDIRECT(ADDRESS(2+$AP89,1+MATCH($AB$9,INDIRECT($AB$17&amp;"!$B$2:$R$2"),0),1,1,$AB$17))</f>
        <v>0</v>
      </c>
      <c r="AT89" s="12" cm="1">
        <f t="array" aca="1" ref="AT89" ca="1">INDIRECT(ADDRESS(2+$AP89,1+MATCH($AB$9,INDIRECT($AB$18&amp;"!$B$2:$R$2"),0),1,1,$AB$18))</f>
        <v>0</v>
      </c>
      <c r="AX89" s="12">
        <v>80</v>
      </c>
      <c r="AY89" s="14">
        <f t="shared" si="198"/>
        <v>36892.822916666475</v>
      </c>
      <c r="AZ89" s="12" t="b">
        <f t="shared" ca="1" si="185"/>
        <v>1</v>
      </c>
      <c r="BA89" s="12" t="b">
        <f t="shared" ca="1" si="186"/>
        <v>1</v>
      </c>
      <c r="BB89" s="12" t="b">
        <f t="shared" ca="1" si="187"/>
        <v>1</v>
      </c>
      <c r="BE89" s="12">
        <v>80</v>
      </c>
      <c r="BF89" s="14">
        <f t="shared" si="199"/>
        <v>36892.822916666475</v>
      </c>
      <c r="BG89" s="12" t="str">
        <f t="shared" ca="1" si="188"/>
        <v/>
      </c>
      <c r="BH89" s="12" t="str">
        <f t="shared" ca="1" si="189"/>
        <v/>
      </c>
      <c r="BI89" s="12" t="str">
        <f t="shared" ca="1" si="190"/>
        <v/>
      </c>
      <c r="BL89" s="12">
        <v>80</v>
      </c>
      <c r="BM89" s="14">
        <f t="shared" si="200"/>
        <v>36892.822916666475</v>
      </c>
      <c r="BN89" s="12" t="str">
        <f t="shared" ca="1" si="191"/>
        <v/>
      </c>
      <c r="BO89" s="12" t="str">
        <f t="shared" ca="1" si="192"/>
        <v/>
      </c>
      <c r="BP89" s="12" t="str">
        <f t="shared" ca="1" si="193"/>
        <v/>
      </c>
      <c r="BS89" s="12">
        <v>80</v>
      </c>
      <c r="BT89" s="14">
        <f t="shared" si="201"/>
        <v>36892.822916666475</v>
      </c>
      <c r="BU89" s="12" t="str">
        <f t="shared" ca="1" si="194"/>
        <v/>
      </c>
      <c r="BV89" s="12" t="str">
        <f t="shared" ca="1" si="195"/>
        <v/>
      </c>
      <c r="BW89" s="12" t="str">
        <f t="shared" ca="1" si="196"/>
        <v/>
      </c>
      <c r="CA89" s="15"/>
      <c r="CH89" s="15"/>
      <c r="CO89" s="15"/>
      <c r="CV89" s="15"/>
    </row>
    <row r="90" spans="35:100" ht="16.5" customHeight="1">
      <c r="AI90" s="15"/>
      <c r="AP90" s="12">
        <v>81</v>
      </c>
      <c r="AQ90" s="14">
        <f t="shared" si="197"/>
        <v>36892.833333333139</v>
      </c>
      <c r="AR90" s="12" cm="1">
        <f t="array" aca="1" ref="AR90" ca="1">INDIRECT(ADDRESS(2+$AP90,1+MATCH($AB$9,INDIRECT($AB$16&amp;"!$B$2:$R$2"),0),1,1,$AB$16))</f>
        <v>0</v>
      </c>
      <c r="AS90" s="12" cm="1">
        <f t="array" aca="1" ref="AS90" ca="1">INDIRECT(ADDRESS(2+$AP90,1+MATCH($AB$9,INDIRECT($AB$17&amp;"!$B$2:$R$2"),0),1,1,$AB$17))</f>
        <v>0</v>
      </c>
      <c r="AT90" s="12" cm="1">
        <f t="array" aca="1" ref="AT90" ca="1">INDIRECT(ADDRESS(2+$AP90,1+MATCH($AB$9,INDIRECT($AB$18&amp;"!$B$2:$R$2"),0),1,1,$AB$18))</f>
        <v>0</v>
      </c>
      <c r="AX90" s="12">
        <v>81</v>
      </c>
      <c r="AY90" s="14">
        <f t="shared" si="198"/>
        <v>36892.833333333139</v>
      </c>
      <c r="AZ90" s="12" t="b">
        <f t="shared" ca="1" si="185"/>
        <v>1</v>
      </c>
      <c r="BA90" s="12" t="b">
        <f t="shared" ca="1" si="186"/>
        <v>1</v>
      </c>
      <c r="BB90" s="12" t="b">
        <f t="shared" ca="1" si="187"/>
        <v>1</v>
      </c>
      <c r="BE90" s="12">
        <v>81</v>
      </c>
      <c r="BF90" s="14">
        <f t="shared" si="199"/>
        <v>36892.833333333139</v>
      </c>
      <c r="BG90" s="12" t="str">
        <f t="shared" ca="1" si="188"/>
        <v/>
      </c>
      <c r="BH90" s="12" t="str">
        <f t="shared" ca="1" si="189"/>
        <v/>
      </c>
      <c r="BI90" s="12" t="str">
        <f t="shared" ca="1" si="190"/>
        <v/>
      </c>
      <c r="BL90" s="12">
        <v>81</v>
      </c>
      <c r="BM90" s="14">
        <f t="shared" si="200"/>
        <v>36892.833333333139</v>
      </c>
      <c r="BN90" s="12" t="str">
        <f t="shared" ca="1" si="191"/>
        <v/>
      </c>
      <c r="BO90" s="12" t="str">
        <f t="shared" ca="1" si="192"/>
        <v/>
      </c>
      <c r="BP90" s="12" t="str">
        <f t="shared" ca="1" si="193"/>
        <v/>
      </c>
      <c r="BS90" s="12">
        <v>81</v>
      </c>
      <c r="BT90" s="14">
        <f t="shared" si="201"/>
        <v>36892.833333333139</v>
      </c>
      <c r="BU90" s="12" t="str">
        <f t="shared" ca="1" si="194"/>
        <v/>
      </c>
      <c r="BV90" s="12" t="str">
        <f t="shared" ca="1" si="195"/>
        <v/>
      </c>
      <c r="BW90" s="12" t="str">
        <f t="shared" ca="1" si="196"/>
        <v/>
      </c>
      <c r="CA90" s="15"/>
      <c r="CH90" s="15"/>
      <c r="CO90" s="15"/>
      <c r="CV90" s="15"/>
    </row>
    <row r="91" spans="35:100" ht="16.5" customHeight="1">
      <c r="AI91" s="15"/>
      <c r="AP91" s="12">
        <v>82</v>
      </c>
      <c r="AQ91" s="14">
        <f t="shared" si="197"/>
        <v>36892.843749999804</v>
      </c>
      <c r="AR91" s="12" cm="1">
        <f t="array" aca="1" ref="AR91" ca="1">INDIRECT(ADDRESS(2+$AP91,1+MATCH($AB$9,INDIRECT($AB$16&amp;"!$B$2:$R$2"),0),1,1,$AB$16))</f>
        <v>0</v>
      </c>
      <c r="AS91" s="12" cm="1">
        <f t="array" aca="1" ref="AS91" ca="1">INDIRECT(ADDRESS(2+$AP91,1+MATCH($AB$9,INDIRECT($AB$17&amp;"!$B$2:$R$2"),0),1,1,$AB$17))</f>
        <v>0</v>
      </c>
      <c r="AT91" s="12" cm="1">
        <f t="array" aca="1" ref="AT91" ca="1">INDIRECT(ADDRESS(2+$AP91,1+MATCH($AB$9,INDIRECT($AB$18&amp;"!$B$2:$R$2"),0),1,1,$AB$18))</f>
        <v>0</v>
      </c>
      <c r="AX91" s="12">
        <v>82</v>
      </c>
      <c r="AY91" s="14">
        <f t="shared" si="198"/>
        <v>36892.843749999804</v>
      </c>
      <c r="AZ91" s="12" t="b">
        <f t="shared" ca="1" si="185"/>
        <v>1</v>
      </c>
      <c r="BA91" s="12" t="b">
        <f t="shared" ca="1" si="186"/>
        <v>1</v>
      </c>
      <c r="BB91" s="12" t="b">
        <f t="shared" ca="1" si="187"/>
        <v>1</v>
      </c>
      <c r="BE91" s="12">
        <v>82</v>
      </c>
      <c r="BF91" s="14">
        <f t="shared" si="199"/>
        <v>36892.843749999804</v>
      </c>
      <c r="BG91" s="12" t="str">
        <f t="shared" ca="1" si="188"/>
        <v/>
      </c>
      <c r="BH91" s="12" t="str">
        <f t="shared" ca="1" si="189"/>
        <v/>
      </c>
      <c r="BI91" s="12" t="str">
        <f t="shared" ca="1" si="190"/>
        <v/>
      </c>
      <c r="BL91" s="12">
        <v>82</v>
      </c>
      <c r="BM91" s="14">
        <f t="shared" si="200"/>
        <v>36892.843749999804</v>
      </c>
      <c r="BN91" s="12" t="str">
        <f t="shared" ca="1" si="191"/>
        <v/>
      </c>
      <c r="BO91" s="12" t="str">
        <f t="shared" ca="1" si="192"/>
        <v/>
      </c>
      <c r="BP91" s="12" t="str">
        <f t="shared" ca="1" si="193"/>
        <v/>
      </c>
      <c r="BS91" s="12">
        <v>82</v>
      </c>
      <c r="BT91" s="14">
        <f t="shared" si="201"/>
        <v>36892.843749999804</v>
      </c>
      <c r="BU91" s="12" t="str">
        <f t="shared" ca="1" si="194"/>
        <v/>
      </c>
      <c r="BV91" s="12" t="str">
        <f t="shared" ca="1" si="195"/>
        <v/>
      </c>
      <c r="BW91" s="12" t="str">
        <f t="shared" ca="1" si="196"/>
        <v/>
      </c>
      <c r="CA91" s="15"/>
      <c r="CH91" s="15"/>
      <c r="CO91" s="15"/>
      <c r="CV91" s="15"/>
    </row>
    <row r="92" spans="35:100" ht="16.5" customHeight="1">
      <c r="AI92" s="15"/>
      <c r="AP92" s="12">
        <v>83</v>
      </c>
      <c r="AQ92" s="14">
        <f t="shared" si="197"/>
        <v>36892.854166666468</v>
      </c>
      <c r="AR92" s="12" cm="1">
        <f t="array" aca="1" ref="AR92" ca="1">INDIRECT(ADDRESS(2+$AP92,1+MATCH($AB$9,INDIRECT($AB$16&amp;"!$B$2:$R$2"),0),1,1,$AB$16))</f>
        <v>0</v>
      </c>
      <c r="AS92" s="12" cm="1">
        <f t="array" aca="1" ref="AS92" ca="1">INDIRECT(ADDRESS(2+$AP92,1+MATCH($AB$9,INDIRECT($AB$17&amp;"!$B$2:$R$2"),0),1,1,$AB$17))</f>
        <v>0</v>
      </c>
      <c r="AT92" s="12" cm="1">
        <f t="array" aca="1" ref="AT92" ca="1">INDIRECT(ADDRESS(2+$AP92,1+MATCH($AB$9,INDIRECT($AB$18&amp;"!$B$2:$R$2"),0),1,1,$AB$18))</f>
        <v>0</v>
      </c>
      <c r="AX92" s="12">
        <v>83</v>
      </c>
      <c r="AY92" s="14">
        <f t="shared" si="198"/>
        <v>36892.854166666468</v>
      </c>
      <c r="AZ92" s="12" t="b">
        <f t="shared" ca="1" si="185"/>
        <v>1</v>
      </c>
      <c r="BA92" s="12" t="b">
        <f t="shared" ca="1" si="186"/>
        <v>1</v>
      </c>
      <c r="BB92" s="12" t="b">
        <f t="shared" ca="1" si="187"/>
        <v>1</v>
      </c>
      <c r="BE92" s="12">
        <v>83</v>
      </c>
      <c r="BF92" s="14">
        <f t="shared" si="199"/>
        <v>36892.854166666468</v>
      </c>
      <c r="BG92" s="12" t="str">
        <f t="shared" ca="1" si="188"/>
        <v/>
      </c>
      <c r="BH92" s="12" t="str">
        <f t="shared" ca="1" si="189"/>
        <v/>
      </c>
      <c r="BI92" s="12" t="str">
        <f t="shared" ca="1" si="190"/>
        <v/>
      </c>
      <c r="BL92" s="12">
        <v>83</v>
      </c>
      <c r="BM92" s="14">
        <f t="shared" si="200"/>
        <v>36892.854166666468</v>
      </c>
      <c r="BN92" s="12" t="str">
        <f t="shared" ca="1" si="191"/>
        <v/>
      </c>
      <c r="BO92" s="12" t="str">
        <f t="shared" ca="1" si="192"/>
        <v/>
      </c>
      <c r="BP92" s="12" t="str">
        <f t="shared" ca="1" si="193"/>
        <v/>
      </c>
      <c r="BS92" s="12">
        <v>83</v>
      </c>
      <c r="BT92" s="14">
        <f t="shared" si="201"/>
        <v>36892.854166666468</v>
      </c>
      <c r="BU92" s="12" t="str">
        <f t="shared" ca="1" si="194"/>
        <v/>
      </c>
      <c r="BV92" s="12" t="str">
        <f t="shared" ca="1" si="195"/>
        <v/>
      </c>
      <c r="BW92" s="12" t="str">
        <f t="shared" ca="1" si="196"/>
        <v/>
      </c>
      <c r="CA92" s="15"/>
      <c r="CH92" s="15"/>
      <c r="CO92" s="15"/>
      <c r="CV92" s="15"/>
    </row>
    <row r="93" spans="35:100" ht="16.5" customHeight="1">
      <c r="AI93" s="15"/>
      <c r="AP93" s="12">
        <v>84</v>
      </c>
      <c r="AQ93" s="14">
        <f t="shared" si="197"/>
        <v>36892.864583333132</v>
      </c>
      <c r="AR93" s="12" cm="1">
        <f t="array" aca="1" ref="AR93" ca="1">INDIRECT(ADDRESS(2+$AP93,1+MATCH($AB$9,INDIRECT($AB$16&amp;"!$B$2:$R$2"),0),1,1,$AB$16))</f>
        <v>0</v>
      </c>
      <c r="AS93" s="12" cm="1">
        <f t="array" aca="1" ref="AS93" ca="1">INDIRECT(ADDRESS(2+$AP93,1+MATCH($AB$9,INDIRECT($AB$17&amp;"!$B$2:$R$2"),0),1,1,$AB$17))</f>
        <v>0</v>
      </c>
      <c r="AT93" s="12" cm="1">
        <f t="array" aca="1" ref="AT93" ca="1">INDIRECT(ADDRESS(2+$AP93,1+MATCH($AB$9,INDIRECT($AB$18&amp;"!$B$2:$R$2"),0),1,1,$AB$18))</f>
        <v>0</v>
      </c>
      <c r="AX93" s="12">
        <v>84</v>
      </c>
      <c r="AY93" s="14">
        <f t="shared" si="198"/>
        <v>36892.864583333132</v>
      </c>
      <c r="AZ93" s="12" t="b">
        <f t="shared" ca="1" si="185"/>
        <v>1</v>
      </c>
      <c r="BA93" s="12" t="b">
        <f t="shared" ca="1" si="186"/>
        <v>1</v>
      </c>
      <c r="BB93" s="12" t="b">
        <f t="shared" ca="1" si="187"/>
        <v>1</v>
      </c>
      <c r="BE93" s="12">
        <v>84</v>
      </c>
      <c r="BF93" s="14">
        <f t="shared" si="199"/>
        <v>36892.864583333132</v>
      </c>
      <c r="BG93" s="12" t="str">
        <f t="shared" ca="1" si="188"/>
        <v/>
      </c>
      <c r="BH93" s="12" t="str">
        <f t="shared" ca="1" si="189"/>
        <v/>
      </c>
      <c r="BI93" s="12" t="str">
        <f t="shared" ca="1" si="190"/>
        <v/>
      </c>
      <c r="BL93" s="12">
        <v>84</v>
      </c>
      <c r="BM93" s="14">
        <f t="shared" si="200"/>
        <v>36892.864583333132</v>
      </c>
      <c r="BN93" s="12" t="str">
        <f t="shared" ca="1" si="191"/>
        <v/>
      </c>
      <c r="BO93" s="12" t="str">
        <f t="shared" ca="1" si="192"/>
        <v/>
      </c>
      <c r="BP93" s="12" t="str">
        <f t="shared" ca="1" si="193"/>
        <v/>
      </c>
      <c r="BS93" s="12">
        <v>84</v>
      </c>
      <c r="BT93" s="14">
        <f t="shared" si="201"/>
        <v>36892.864583333132</v>
      </c>
      <c r="BU93" s="12" t="str">
        <f t="shared" ca="1" si="194"/>
        <v/>
      </c>
      <c r="BV93" s="12" t="str">
        <f t="shared" ca="1" si="195"/>
        <v/>
      </c>
      <c r="BW93" s="12" t="str">
        <f t="shared" ca="1" si="196"/>
        <v/>
      </c>
      <c r="CA93" s="15"/>
      <c r="CH93" s="15"/>
      <c r="CO93" s="15"/>
      <c r="CV93" s="15"/>
    </row>
    <row r="94" spans="35:100" ht="16.5" customHeight="1">
      <c r="AI94" s="15"/>
      <c r="AP94" s="12">
        <v>85</v>
      </c>
      <c r="AQ94" s="14">
        <f t="shared" si="197"/>
        <v>36892.874999999796</v>
      </c>
      <c r="AR94" s="12" cm="1">
        <f t="array" aca="1" ref="AR94" ca="1">INDIRECT(ADDRESS(2+$AP94,1+MATCH($AB$9,INDIRECT($AB$16&amp;"!$B$2:$R$2"),0),1,1,$AB$16))</f>
        <v>0</v>
      </c>
      <c r="AS94" s="12" cm="1">
        <f t="array" aca="1" ref="AS94" ca="1">INDIRECT(ADDRESS(2+$AP94,1+MATCH($AB$9,INDIRECT($AB$17&amp;"!$B$2:$R$2"),0),1,1,$AB$17))</f>
        <v>0</v>
      </c>
      <c r="AT94" s="12" cm="1">
        <f t="array" aca="1" ref="AT94" ca="1">INDIRECT(ADDRESS(2+$AP94,1+MATCH($AB$9,INDIRECT($AB$18&amp;"!$B$2:$R$2"),0),1,1,$AB$18))</f>
        <v>0</v>
      </c>
      <c r="AX94" s="12">
        <v>85</v>
      </c>
      <c r="AY94" s="14">
        <f t="shared" si="198"/>
        <v>36892.874999999796</v>
      </c>
      <c r="AZ94" s="12" t="b">
        <f t="shared" ca="1" si="185"/>
        <v>1</v>
      </c>
      <c r="BA94" s="12" t="b">
        <f t="shared" ca="1" si="186"/>
        <v>1</v>
      </c>
      <c r="BB94" s="12" t="b">
        <f t="shared" ca="1" si="187"/>
        <v>1</v>
      </c>
      <c r="BE94" s="12">
        <v>85</v>
      </c>
      <c r="BF94" s="14">
        <f t="shared" si="199"/>
        <v>36892.874999999796</v>
      </c>
      <c r="BG94" s="12" t="str">
        <f t="shared" ca="1" si="188"/>
        <v/>
      </c>
      <c r="BH94" s="12" t="str">
        <f t="shared" ca="1" si="189"/>
        <v/>
      </c>
      <c r="BI94" s="12" t="str">
        <f t="shared" ca="1" si="190"/>
        <v/>
      </c>
      <c r="BL94" s="12">
        <v>85</v>
      </c>
      <c r="BM94" s="14">
        <f t="shared" si="200"/>
        <v>36892.874999999796</v>
      </c>
      <c r="BN94" s="12" t="str">
        <f t="shared" ca="1" si="191"/>
        <v/>
      </c>
      <c r="BO94" s="12" t="str">
        <f t="shared" ca="1" si="192"/>
        <v/>
      </c>
      <c r="BP94" s="12" t="str">
        <f t="shared" ca="1" si="193"/>
        <v/>
      </c>
      <c r="BS94" s="12">
        <v>85</v>
      </c>
      <c r="BT94" s="14">
        <f t="shared" si="201"/>
        <v>36892.874999999796</v>
      </c>
      <c r="BU94" s="12" t="str">
        <f t="shared" ca="1" si="194"/>
        <v/>
      </c>
      <c r="BV94" s="12" t="str">
        <f t="shared" ca="1" si="195"/>
        <v/>
      </c>
      <c r="BW94" s="12" t="str">
        <f t="shared" ca="1" si="196"/>
        <v/>
      </c>
      <c r="CA94" s="15"/>
      <c r="CH94" s="15"/>
      <c r="CO94" s="15"/>
      <c r="CV94" s="15"/>
    </row>
    <row r="95" spans="35:100" ht="16.5" customHeight="1">
      <c r="AI95" s="15"/>
      <c r="AP95" s="12">
        <v>86</v>
      </c>
      <c r="AQ95" s="14">
        <f t="shared" si="197"/>
        <v>36892.885416666461</v>
      </c>
      <c r="AR95" s="12" cm="1">
        <f t="array" aca="1" ref="AR95" ca="1">INDIRECT(ADDRESS(2+$AP95,1+MATCH($AB$9,INDIRECT($AB$16&amp;"!$B$2:$R$2"),0),1,1,$AB$16))</f>
        <v>0</v>
      </c>
      <c r="AS95" s="12" cm="1">
        <f t="array" aca="1" ref="AS95" ca="1">INDIRECT(ADDRESS(2+$AP95,1+MATCH($AB$9,INDIRECT($AB$17&amp;"!$B$2:$R$2"),0),1,1,$AB$17))</f>
        <v>0</v>
      </c>
      <c r="AT95" s="12" cm="1">
        <f t="array" aca="1" ref="AT95" ca="1">INDIRECT(ADDRESS(2+$AP95,1+MATCH($AB$9,INDIRECT($AB$18&amp;"!$B$2:$R$2"),0),1,1,$AB$18))</f>
        <v>0</v>
      </c>
      <c r="AX95" s="12">
        <v>86</v>
      </c>
      <c r="AY95" s="14">
        <f t="shared" si="198"/>
        <v>36892.885416666461</v>
      </c>
      <c r="AZ95" s="12" t="b">
        <f t="shared" ca="1" si="185"/>
        <v>1</v>
      </c>
      <c r="BA95" s="12" t="b">
        <f t="shared" ca="1" si="186"/>
        <v>1</v>
      </c>
      <c r="BB95" s="12" t="b">
        <f t="shared" ca="1" si="187"/>
        <v>1</v>
      </c>
      <c r="BE95" s="12">
        <v>86</v>
      </c>
      <c r="BF95" s="14">
        <f t="shared" si="199"/>
        <v>36892.885416666461</v>
      </c>
      <c r="BG95" s="12" t="str">
        <f t="shared" ca="1" si="188"/>
        <v/>
      </c>
      <c r="BH95" s="12" t="str">
        <f t="shared" ca="1" si="189"/>
        <v/>
      </c>
      <c r="BI95" s="12" t="str">
        <f t="shared" ca="1" si="190"/>
        <v/>
      </c>
      <c r="BL95" s="12">
        <v>86</v>
      </c>
      <c r="BM95" s="14">
        <f t="shared" si="200"/>
        <v>36892.885416666461</v>
      </c>
      <c r="BN95" s="12" t="str">
        <f t="shared" ca="1" si="191"/>
        <v/>
      </c>
      <c r="BO95" s="12" t="str">
        <f t="shared" ca="1" si="192"/>
        <v/>
      </c>
      <c r="BP95" s="12" t="str">
        <f t="shared" ca="1" si="193"/>
        <v/>
      </c>
      <c r="BS95" s="12">
        <v>86</v>
      </c>
      <c r="BT95" s="14">
        <f t="shared" si="201"/>
        <v>36892.885416666461</v>
      </c>
      <c r="BU95" s="12" t="str">
        <f t="shared" ca="1" si="194"/>
        <v/>
      </c>
      <c r="BV95" s="12" t="str">
        <f t="shared" ca="1" si="195"/>
        <v/>
      </c>
      <c r="BW95" s="12" t="str">
        <f t="shared" ca="1" si="196"/>
        <v/>
      </c>
      <c r="CA95" s="15"/>
      <c r="CH95" s="15"/>
      <c r="CO95" s="15"/>
      <c r="CV95" s="15"/>
    </row>
    <row r="96" spans="35:100" ht="16.5" customHeight="1">
      <c r="AI96" s="15"/>
      <c r="AP96" s="12">
        <v>87</v>
      </c>
      <c r="AQ96" s="14">
        <f t="shared" si="197"/>
        <v>36892.895833333125</v>
      </c>
      <c r="AR96" s="12" cm="1">
        <f t="array" aca="1" ref="AR96" ca="1">INDIRECT(ADDRESS(2+$AP96,1+MATCH($AB$9,INDIRECT($AB$16&amp;"!$B$2:$R$2"),0),1,1,$AB$16))</f>
        <v>0</v>
      </c>
      <c r="AS96" s="12" cm="1">
        <f t="array" aca="1" ref="AS96" ca="1">INDIRECT(ADDRESS(2+$AP96,1+MATCH($AB$9,INDIRECT($AB$17&amp;"!$B$2:$R$2"),0),1,1,$AB$17))</f>
        <v>0</v>
      </c>
      <c r="AT96" s="12" cm="1">
        <f t="array" aca="1" ref="AT96" ca="1">INDIRECT(ADDRESS(2+$AP96,1+MATCH($AB$9,INDIRECT($AB$18&amp;"!$B$2:$R$2"),0),1,1,$AB$18))</f>
        <v>0</v>
      </c>
      <c r="AX96" s="12">
        <v>87</v>
      </c>
      <c r="AY96" s="14">
        <f t="shared" si="198"/>
        <v>36892.895833333125</v>
      </c>
      <c r="AZ96" s="12" t="b">
        <f t="shared" ca="1" si="185"/>
        <v>1</v>
      </c>
      <c r="BA96" s="12" t="b">
        <f t="shared" ca="1" si="186"/>
        <v>1</v>
      </c>
      <c r="BB96" s="12" t="b">
        <f t="shared" ca="1" si="187"/>
        <v>1</v>
      </c>
      <c r="BE96" s="12">
        <v>87</v>
      </c>
      <c r="BF96" s="14">
        <f t="shared" si="199"/>
        <v>36892.895833333125</v>
      </c>
      <c r="BG96" s="12" t="str">
        <f t="shared" ca="1" si="188"/>
        <v/>
      </c>
      <c r="BH96" s="12" t="str">
        <f t="shared" ca="1" si="189"/>
        <v/>
      </c>
      <c r="BI96" s="12" t="str">
        <f t="shared" ca="1" si="190"/>
        <v/>
      </c>
      <c r="BL96" s="12">
        <v>87</v>
      </c>
      <c r="BM96" s="14">
        <f t="shared" si="200"/>
        <v>36892.895833333125</v>
      </c>
      <c r="BN96" s="12" t="str">
        <f t="shared" ca="1" si="191"/>
        <v/>
      </c>
      <c r="BO96" s="12" t="str">
        <f t="shared" ca="1" si="192"/>
        <v/>
      </c>
      <c r="BP96" s="12" t="str">
        <f t="shared" ca="1" si="193"/>
        <v/>
      </c>
      <c r="BS96" s="12">
        <v>87</v>
      </c>
      <c r="BT96" s="14">
        <f t="shared" si="201"/>
        <v>36892.895833333125</v>
      </c>
      <c r="BU96" s="12" t="str">
        <f t="shared" ca="1" si="194"/>
        <v/>
      </c>
      <c r="BV96" s="12" t="str">
        <f t="shared" ca="1" si="195"/>
        <v/>
      </c>
      <c r="BW96" s="12" t="str">
        <f t="shared" ca="1" si="196"/>
        <v/>
      </c>
      <c r="CA96" s="15"/>
      <c r="CH96" s="15"/>
      <c r="CO96" s="15"/>
      <c r="CV96" s="15"/>
    </row>
    <row r="97" spans="35:100" ht="16.5" customHeight="1">
      <c r="AI97" s="15"/>
      <c r="AP97" s="12">
        <v>88</v>
      </c>
      <c r="AQ97" s="14">
        <f t="shared" si="197"/>
        <v>36892.906249999789</v>
      </c>
      <c r="AR97" s="12" cm="1">
        <f t="array" aca="1" ref="AR97" ca="1">INDIRECT(ADDRESS(2+$AP97,1+MATCH($AB$9,INDIRECT($AB$16&amp;"!$B$2:$R$2"),0),1,1,$AB$16))</f>
        <v>0</v>
      </c>
      <c r="AS97" s="12" cm="1">
        <f t="array" aca="1" ref="AS97" ca="1">INDIRECT(ADDRESS(2+$AP97,1+MATCH($AB$9,INDIRECT($AB$17&amp;"!$B$2:$R$2"),0),1,1,$AB$17))</f>
        <v>0</v>
      </c>
      <c r="AT97" s="12" cm="1">
        <f t="array" aca="1" ref="AT97" ca="1">INDIRECT(ADDRESS(2+$AP97,1+MATCH($AB$9,INDIRECT($AB$18&amp;"!$B$2:$R$2"),0),1,1,$AB$18))</f>
        <v>0</v>
      </c>
      <c r="AX97" s="12">
        <v>88</v>
      </c>
      <c r="AY97" s="14">
        <f t="shared" si="198"/>
        <v>36892.906249999789</v>
      </c>
      <c r="AZ97" s="12" t="b">
        <f t="shared" ca="1" si="185"/>
        <v>1</v>
      </c>
      <c r="BA97" s="12" t="b">
        <f t="shared" ca="1" si="186"/>
        <v>1</v>
      </c>
      <c r="BB97" s="12" t="b">
        <f t="shared" ca="1" si="187"/>
        <v>1</v>
      </c>
      <c r="BE97" s="12">
        <v>88</v>
      </c>
      <c r="BF97" s="14">
        <f t="shared" si="199"/>
        <v>36892.906249999789</v>
      </c>
      <c r="BG97" s="12" t="str">
        <f t="shared" ca="1" si="188"/>
        <v/>
      </c>
      <c r="BH97" s="12" t="str">
        <f t="shared" ca="1" si="189"/>
        <v/>
      </c>
      <c r="BI97" s="12" t="str">
        <f t="shared" ca="1" si="190"/>
        <v/>
      </c>
      <c r="BL97" s="12">
        <v>88</v>
      </c>
      <c r="BM97" s="14">
        <f t="shared" si="200"/>
        <v>36892.906249999789</v>
      </c>
      <c r="BN97" s="12" t="str">
        <f t="shared" ca="1" si="191"/>
        <v/>
      </c>
      <c r="BO97" s="12" t="str">
        <f t="shared" ca="1" si="192"/>
        <v/>
      </c>
      <c r="BP97" s="12" t="str">
        <f t="shared" ca="1" si="193"/>
        <v/>
      </c>
      <c r="BS97" s="12">
        <v>88</v>
      </c>
      <c r="BT97" s="14">
        <f t="shared" si="201"/>
        <v>36892.906249999789</v>
      </c>
      <c r="BU97" s="12" t="str">
        <f t="shared" ca="1" si="194"/>
        <v/>
      </c>
      <c r="BV97" s="12" t="str">
        <f t="shared" ca="1" si="195"/>
        <v/>
      </c>
      <c r="BW97" s="12" t="str">
        <f t="shared" ca="1" si="196"/>
        <v/>
      </c>
      <c r="CA97" s="15"/>
      <c r="CH97" s="15"/>
      <c r="CO97" s="15"/>
      <c r="CV97" s="15"/>
    </row>
    <row r="98" spans="35:100" ht="16.5" customHeight="1">
      <c r="AI98" s="15"/>
      <c r="AP98" s="12">
        <v>89</v>
      </c>
      <c r="AQ98" s="14">
        <f t="shared" si="197"/>
        <v>36892.916666666453</v>
      </c>
      <c r="AR98" s="12" cm="1">
        <f t="array" aca="1" ref="AR98" ca="1">INDIRECT(ADDRESS(2+$AP98,1+MATCH($AB$9,INDIRECT($AB$16&amp;"!$B$2:$R$2"),0),1,1,$AB$16))</f>
        <v>0</v>
      </c>
      <c r="AS98" s="12" cm="1">
        <f t="array" aca="1" ref="AS98" ca="1">INDIRECT(ADDRESS(2+$AP98,1+MATCH($AB$9,INDIRECT($AB$17&amp;"!$B$2:$R$2"),0),1,1,$AB$17))</f>
        <v>0</v>
      </c>
      <c r="AT98" s="12" cm="1">
        <f t="array" aca="1" ref="AT98" ca="1">INDIRECT(ADDRESS(2+$AP98,1+MATCH($AB$9,INDIRECT($AB$18&amp;"!$B$2:$R$2"),0),1,1,$AB$18))</f>
        <v>0</v>
      </c>
      <c r="AX98" s="12">
        <v>89</v>
      </c>
      <c r="AY98" s="14">
        <f t="shared" si="198"/>
        <v>36892.916666666453</v>
      </c>
      <c r="AZ98" s="12" t="b">
        <f t="shared" ca="1" si="185"/>
        <v>1</v>
      </c>
      <c r="BA98" s="12" t="b">
        <f t="shared" ca="1" si="186"/>
        <v>1</v>
      </c>
      <c r="BB98" s="12" t="b">
        <f t="shared" ca="1" si="187"/>
        <v>1</v>
      </c>
      <c r="BE98" s="12">
        <v>89</v>
      </c>
      <c r="BF98" s="14">
        <f t="shared" si="199"/>
        <v>36892.916666666453</v>
      </c>
      <c r="BG98" s="12" t="str">
        <f t="shared" ca="1" si="188"/>
        <v/>
      </c>
      <c r="BH98" s="12" t="str">
        <f t="shared" ca="1" si="189"/>
        <v/>
      </c>
      <c r="BI98" s="12" t="str">
        <f t="shared" ca="1" si="190"/>
        <v/>
      </c>
      <c r="BL98" s="12">
        <v>89</v>
      </c>
      <c r="BM98" s="14">
        <f t="shared" si="200"/>
        <v>36892.916666666453</v>
      </c>
      <c r="BN98" s="12" t="str">
        <f t="shared" ca="1" si="191"/>
        <v/>
      </c>
      <c r="BO98" s="12" t="str">
        <f t="shared" ca="1" si="192"/>
        <v/>
      </c>
      <c r="BP98" s="12" t="str">
        <f t="shared" ca="1" si="193"/>
        <v/>
      </c>
      <c r="BS98" s="12">
        <v>89</v>
      </c>
      <c r="BT98" s="14">
        <f t="shared" si="201"/>
        <v>36892.916666666453</v>
      </c>
      <c r="BU98" s="12" t="str">
        <f t="shared" ca="1" si="194"/>
        <v/>
      </c>
      <c r="BV98" s="12" t="str">
        <f t="shared" ca="1" si="195"/>
        <v/>
      </c>
      <c r="BW98" s="12" t="str">
        <f t="shared" ca="1" si="196"/>
        <v/>
      </c>
      <c r="CA98" s="15"/>
      <c r="CH98" s="15"/>
      <c r="CO98" s="15"/>
      <c r="CV98" s="15"/>
    </row>
    <row r="99" spans="35:100" ht="16.5" customHeight="1">
      <c r="AI99" s="15"/>
      <c r="AP99" s="12">
        <v>90</v>
      </c>
      <c r="AQ99" s="14">
        <f t="shared" si="197"/>
        <v>36892.927083333117</v>
      </c>
      <c r="AR99" s="12" cm="1">
        <f t="array" aca="1" ref="AR99" ca="1">INDIRECT(ADDRESS(2+$AP99,1+MATCH($AB$9,INDIRECT($AB$16&amp;"!$B$2:$R$2"),0),1,1,$AB$16))</f>
        <v>0</v>
      </c>
      <c r="AS99" s="12" cm="1">
        <f t="array" aca="1" ref="AS99" ca="1">INDIRECT(ADDRESS(2+$AP99,1+MATCH($AB$9,INDIRECT($AB$17&amp;"!$B$2:$R$2"),0),1,1,$AB$17))</f>
        <v>0</v>
      </c>
      <c r="AT99" s="12" cm="1">
        <f t="array" aca="1" ref="AT99" ca="1">INDIRECT(ADDRESS(2+$AP99,1+MATCH($AB$9,INDIRECT($AB$18&amp;"!$B$2:$R$2"),0),1,1,$AB$18))</f>
        <v>0</v>
      </c>
      <c r="AX99" s="12">
        <v>90</v>
      </c>
      <c r="AY99" s="14">
        <f t="shared" si="198"/>
        <v>36892.927083333117</v>
      </c>
      <c r="AZ99" s="12" t="b">
        <f t="shared" ca="1" si="185"/>
        <v>1</v>
      </c>
      <c r="BA99" s="12" t="b">
        <f t="shared" ca="1" si="186"/>
        <v>1</v>
      </c>
      <c r="BB99" s="12" t="b">
        <f t="shared" ca="1" si="187"/>
        <v>1</v>
      </c>
      <c r="BE99" s="12">
        <v>90</v>
      </c>
      <c r="BF99" s="14">
        <f t="shared" si="199"/>
        <v>36892.927083333117</v>
      </c>
      <c r="BG99" s="12" t="str">
        <f t="shared" ca="1" si="188"/>
        <v/>
      </c>
      <c r="BH99" s="12" t="str">
        <f t="shared" ca="1" si="189"/>
        <v/>
      </c>
      <c r="BI99" s="12" t="str">
        <f t="shared" ca="1" si="190"/>
        <v/>
      </c>
      <c r="BL99" s="12">
        <v>90</v>
      </c>
      <c r="BM99" s="14">
        <f t="shared" si="200"/>
        <v>36892.927083333117</v>
      </c>
      <c r="BN99" s="12" t="str">
        <f t="shared" ca="1" si="191"/>
        <v/>
      </c>
      <c r="BO99" s="12" t="str">
        <f t="shared" ca="1" si="192"/>
        <v/>
      </c>
      <c r="BP99" s="12" t="str">
        <f t="shared" ca="1" si="193"/>
        <v/>
      </c>
      <c r="BS99" s="12">
        <v>90</v>
      </c>
      <c r="BT99" s="14">
        <f t="shared" si="201"/>
        <v>36892.927083333117</v>
      </c>
      <c r="BU99" s="12" t="str">
        <f t="shared" ca="1" si="194"/>
        <v/>
      </c>
      <c r="BV99" s="12" t="str">
        <f t="shared" ca="1" si="195"/>
        <v/>
      </c>
      <c r="BW99" s="12" t="str">
        <f t="shared" ca="1" si="196"/>
        <v/>
      </c>
      <c r="CA99" s="15"/>
      <c r="CH99" s="15"/>
      <c r="CO99" s="15"/>
      <c r="CV99" s="15"/>
    </row>
    <row r="100" spans="35:100" ht="16.5" customHeight="1">
      <c r="AI100" s="15"/>
      <c r="AP100" s="12">
        <v>91</v>
      </c>
      <c r="AQ100" s="14">
        <f t="shared" si="197"/>
        <v>36892.937499999782</v>
      </c>
      <c r="AR100" s="12" cm="1">
        <f t="array" aca="1" ref="AR100" ca="1">INDIRECT(ADDRESS(2+$AP100,1+MATCH($AB$9,INDIRECT($AB$16&amp;"!$B$2:$R$2"),0),1,1,$AB$16))</f>
        <v>0</v>
      </c>
      <c r="AS100" s="12" cm="1">
        <f t="array" aca="1" ref="AS100" ca="1">INDIRECT(ADDRESS(2+$AP100,1+MATCH($AB$9,INDIRECT($AB$17&amp;"!$B$2:$R$2"),0),1,1,$AB$17))</f>
        <v>0</v>
      </c>
      <c r="AT100" s="12" cm="1">
        <f t="array" aca="1" ref="AT100" ca="1">INDIRECT(ADDRESS(2+$AP100,1+MATCH($AB$9,INDIRECT($AB$18&amp;"!$B$2:$R$2"),0),1,1,$AB$18))</f>
        <v>0</v>
      </c>
      <c r="AX100" s="12">
        <v>91</v>
      </c>
      <c r="AY100" s="14">
        <f t="shared" si="198"/>
        <v>36892.937499999782</v>
      </c>
      <c r="AZ100" s="12" t="b">
        <f t="shared" ca="1" si="185"/>
        <v>1</v>
      </c>
      <c r="BA100" s="12" t="b">
        <f t="shared" ca="1" si="186"/>
        <v>1</v>
      </c>
      <c r="BB100" s="12" t="b">
        <f t="shared" ca="1" si="187"/>
        <v>1</v>
      </c>
      <c r="BE100" s="12">
        <v>91</v>
      </c>
      <c r="BF100" s="14">
        <f t="shared" si="199"/>
        <v>36892.937499999782</v>
      </c>
      <c r="BG100" s="12" t="str">
        <f t="shared" ca="1" si="188"/>
        <v/>
      </c>
      <c r="BH100" s="12" t="str">
        <f t="shared" ca="1" si="189"/>
        <v/>
      </c>
      <c r="BI100" s="12" t="str">
        <f t="shared" ca="1" si="190"/>
        <v/>
      </c>
      <c r="BL100" s="12">
        <v>91</v>
      </c>
      <c r="BM100" s="14">
        <f t="shared" si="200"/>
        <v>36892.937499999782</v>
      </c>
      <c r="BN100" s="12" t="str">
        <f t="shared" ca="1" si="191"/>
        <v/>
      </c>
      <c r="BO100" s="12" t="str">
        <f t="shared" ca="1" si="192"/>
        <v/>
      </c>
      <c r="BP100" s="12" t="str">
        <f t="shared" ca="1" si="193"/>
        <v/>
      </c>
      <c r="BS100" s="12">
        <v>91</v>
      </c>
      <c r="BT100" s="14">
        <f t="shared" si="201"/>
        <v>36892.937499999782</v>
      </c>
      <c r="BU100" s="12" t="str">
        <f t="shared" ca="1" si="194"/>
        <v/>
      </c>
      <c r="BV100" s="12" t="str">
        <f t="shared" ca="1" si="195"/>
        <v/>
      </c>
      <c r="BW100" s="12" t="str">
        <f t="shared" ca="1" si="196"/>
        <v/>
      </c>
      <c r="CA100" s="15"/>
      <c r="CH100" s="15"/>
      <c r="CO100" s="15"/>
      <c r="CV100" s="15"/>
    </row>
    <row r="101" spans="35:100" ht="16.5" customHeight="1">
      <c r="AI101" s="15"/>
      <c r="AP101" s="12">
        <v>92</v>
      </c>
      <c r="AQ101" s="14">
        <f t="shared" si="197"/>
        <v>36892.947916666446</v>
      </c>
      <c r="AR101" s="12" cm="1">
        <f t="array" aca="1" ref="AR101" ca="1">INDIRECT(ADDRESS(2+$AP101,1+MATCH($AB$9,INDIRECT($AB$16&amp;"!$B$2:$R$2"),0),1,1,$AB$16))</f>
        <v>0</v>
      </c>
      <c r="AS101" s="12" cm="1">
        <f t="array" aca="1" ref="AS101" ca="1">INDIRECT(ADDRESS(2+$AP101,1+MATCH($AB$9,INDIRECT($AB$17&amp;"!$B$2:$R$2"),0),1,1,$AB$17))</f>
        <v>0</v>
      </c>
      <c r="AT101" s="12" cm="1">
        <f t="array" aca="1" ref="AT101" ca="1">INDIRECT(ADDRESS(2+$AP101,1+MATCH($AB$9,INDIRECT($AB$18&amp;"!$B$2:$R$2"),0),1,1,$AB$18))</f>
        <v>0</v>
      </c>
      <c r="AX101" s="12">
        <v>92</v>
      </c>
      <c r="AY101" s="14">
        <f t="shared" si="198"/>
        <v>36892.947916666446</v>
      </c>
      <c r="AZ101" s="12" t="b">
        <f t="shared" ca="1" si="185"/>
        <v>1</v>
      </c>
      <c r="BA101" s="12" t="b">
        <f t="shared" ca="1" si="186"/>
        <v>1</v>
      </c>
      <c r="BB101" s="12" t="b">
        <f t="shared" ca="1" si="187"/>
        <v>1</v>
      </c>
      <c r="BE101" s="12">
        <v>92</v>
      </c>
      <c r="BF101" s="14">
        <f t="shared" si="199"/>
        <v>36892.947916666446</v>
      </c>
      <c r="BG101" s="12" t="str">
        <f t="shared" ca="1" si="188"/>
        <v/>
      </c>
      <c r="BH101" s="12" t="str">
        <f t="shared" ca="1" si="189"/>
        <v/>
      </c>
      <c r="BI101" s="12" t="str">
        <f t="shared" ca="1" si="190"/>
        <v/>
      </c>
      <c r="BL101" s="12">
        <v>92</v>
      </c>
      <c r="BM101" s="14">
        <f t="shared" si="200"/>
        <v>36892.947916666446</v>
      </c>
      <c r="BN101" s="12" t="str">
        <f t="shared" ca="1" si="191"/>
        <v/>
      </c>
      <c r="BO101" s="12" t="str">
        <f t="shared" ca="1" si="192"/>
        <v/>
      </c>
      <c r="BP101" s="12" t="str">
        <f t="shared" ca="1" si="193"/>
        <v/>
      </c>
      <c r="BS101" s="12">
        <v>92</v>
      </c>
      <c r="BT101" s="14">
        <f t="shared" si="201"/>
        <v>36892.947916666446</v>
      </c>
      <c r="BU101" s="12" t="str">
        <f t="shared" ca="1" si="194"/>
        <v/>
      </c>
      <c r="BV101" s="12" t="str">
        <f t="shared" ca="1" si="195"/>
        <v/>
      </c>
      <c r="BW101" s="12" t="str">
        <f t="shared" ca="1" si="196"/>
        <v/>
      </c>
      <c r="CA101" s="15"/>
      <c r="CH101" s="15"/>
      <c r="CO101" s="15"/>
      <c r="CV101" s="15"/>
    </row>
    <row r="102" spans="35:100" ht="16.5" customHeight="1">
      <c r="AI102" s="15"/>
      <c r="AP102" s="12">
        <v>93</v>
      </c>
      <c r="AQ102" s="14">
        <f t="shared" si="197"/>
        <v>36892.95833333311</v>
      </c>
      <c r="AR102" s="12" cm="1">
        <f t="array" aca="1" ref="AR102" ca="1">INDIRECT(ADDRESS(2+$AP102,1+MATCH($AB$9,INDIRECT($AB$16&amp;"!$B$2:$R$2"),0),1,1,$AB$16))</f>
        <v>0</v>
      </c>
      <c r="AS102" s="12" cm="1">
        <f t="array" aca="1" ref="AS102" ca="1">INDIRECT(ADDRESS(2+$AP102,1+MATCH($AB$9,INDIRECT($AB$17&amp;"!$B$2:$R$2"),0),1,1,$AB$17))</f>
        <v>0</v>
      </c>
      <c r="AT102" s="12" cm="1">
        <f t="array" aca="1" ref="AT102" ca="1">INDIRECT(ADDRESS(2+$AP102,1+MATCH($AB$9,INDIRECT($AB$18&amp;"!$B$2:$R$2"),0),1,1,$AB$18))</f>
        <v>0</v>
      </c>
      <c r="AX102" s="12">
        <v>93</v>
      </c>
      <c r="AY102" s="14">
        <f t="shared" si="198"/>
        <v>36892.95833333311</v>
      </c>
      <c r="AZ102" s="12" t="b">
        <f t="shared" ca="1" si="185"/>
        <v>1</v>
      </c>
      <c r="BA102" s="12" t="b">
        <f t="shared" ca="1" si="186"/>
        <v>1</v>
      </c>
      <c r="BB102" s="12" t="b">
        <f t="shared" ca="1" si="187"/>
        <v>1</v>
      </c>
      <c r="BE102" s="12">
        <v>93</v>
      </c>
      <c r="BF102" s="14">
        <f t="shared" si="199"/>
        <v>36892.95833333311</v>
      </c>
      <c r="BG102" s="12" t="str">
        <f t="shared" ca="1" si="188"/>
        <v/>
      </c>
      <c r="BH102" s="12" t="str">
        <f t="shared" ca="1" si="189"/>
        <v/>
      </c>
      <c r="BI102" s="12" t="str">
        <f t="shared" ca="1" si="190"/>
        <v/>
      </c>
      <c r="BL102" s="12">
        <v>93</v>
      </c>
      <c r="BM102" s="14">
        <f t="shared" si="200"/>
        <v>36892.95833333311</v>
      </c>
      <c r="BN102" s="12" t="str">
        <f t="shared" ca="1" si="191"/>
        <v/>
      </c>
      <c r="BO102" s="12" t="str">
        <f t="shared" ca="1" si="192"/>
        <v/>
      </c>
      <c r="BP102" s="12" t="str">
        <f t="shared" ca="1" si="193"/>
        <v/>
      </c>
      <c r="BS102" s="12">
        <v>93</v>
      </c>
      <c r="BT102" s="14">
        <f t="shared" si="201"/>
        <v>36892.95833333311</v>
      </c>
      <c r="BU102" s="12" t="str">
        <f t="shared" ca="1" si="194"/>
        <v/>
      </c>
      <c r="BV102" s="12" t="str">
        <f t="shared" ca="1" si="195"/>
        <v/>
      </c>
      <c r="BW102" s="12" t="str">
        <f t="shared" ca="1" si="196"/>
        <v/>
      </c>
      <c r="CA102" s="15"/>
      <c r="CH102" s="15"/>
      <c r="CO102" s="15"/>
      <c r="CV102" s="15"/>
    </row>
    <row r="103" spans="35:100" ht="16.5" customHeight="1">
      <c r="AI103" s="15"/>
      <c r="AP103" s="12">
        <v>94</v>
      </c>
      <c r="AQ103" s="14">
        <f t="shared" si="197"/>
        <v>36892.968749999774</v>
      </c>
      <c r="AR103" s="12" cm="1">
        <f t="array" aca="1" ref="AR103" ca="1">INDIRECT(ADDRESS(2+$AP103,1+MATCH($AB$9,INDIRECT($AB$16&amp;"!$B$2:$R$2"),0),1,1,$AB$16))</f>
        <v>0</v>
      </c>
      <c r="AS103" s="12" cm="1">
        <f t="array" aca="1" ref="AS103" ca="1">INDIRECT(ADDRESS(2+$AP103,1+MATCH($AB$9,INDIRECT($AB$17&amp;"!$B$2:$R$2"),0),1,1,$AB$17))</f>
        <v>0</v>
      </c>
      <c r="AT103" s="12" cm="1">
        <f t="array" aca="1" ref="AT103" ca="1">INDIRECT(ADDRESS(2+$AP103,1+MATCH($AB$9,INDIRECT($AB$18&amp;"!$B$2:$R$2"),0),1,1,$AB$18))</f>
        <v>0</v>
      </c>
      <c r="AX103" s="12">
        <v>94</v>
      </c>
      <c r="AY103" s="14">
        <f t="shared" si="198"/>
        <v>36892.968749999774</v>
      </c>
      <c r="AZ103" s="12" t="b">
        <f t="shared" ca="1" si="185"/>
        <v>1</v>
      </c>
      <c r="BA103" s="12" t="b">
        <f t="shared" ca="1" si="186"/>
        <v>1</v>
      </c>
      <c r="BB103" s="12" t="b">
        <f t="shared" ca="1" si="187"/>
        <v>1</v>
      </c>
      <c r="BE103" s="12">
        <v>94</v>
      </c>
      <c r="BF103" s="14">
        <f t="shared" si="199"/>
        <v>36892.968749999774</v>
      </c>
      <c r="BG103" s="12" t="str">
        <f t="shared" ca="1" si="188"/>
        <v/>
      </c>
      <c r="BH103" s="12" t="str">
        <f t="shared" ca="1" si="189"/>
        <v/>
      </c>
      <c r="BI103" s="12" t="str">
        <f t="shared" ca="1" si="190"/>
        <v/>
      </c>
      <c r="BL103" s="12">
        <v>94</v>
      </c>
      <c r="BM103" s="14">
        <f t="shared" si="200"/>
        <v>36892.968749999774</v>
      </c>
      <c r="BN103" s="12" t="str">
        <f t="shared" ca="1" si="191"/>
        <v/>
      </c>
      <c r="BO103" s="12" t="str">
        <f t="shared" ca="1" si="192"/>
        <v/>
      </c>
      <c r="BP103" s="12" t="str">
        <f t="shared" ca="1" si="193"/>
        <v/>
      </c>
      <c r="BS103" s="12">
        <v>94</v>
      </c>
      <c r="BT103" s="14">
        <f t="shared" si="201"/>
        <v>36892.968749999774</v>
      </c>
      <c r="BU103" s="12" t="str">
        <f t="shared" ca="1" si="194"/>
        <v/>
      </c>
      <c r="BV103" s="12" t="str">
        <f t="shared" ca="1" si="195"/>
        <v/>
      </c>
      <c r="BW103" s="12" t="str">
        <f t="shared" ca="1" si="196"/>
        <v/>
      </c>
      <c r="CA103" s="15"/>
      <c r="CH103" s="15"/>
      <c r="CO103" s="15"/>
      <c r="CV103" s="15"/>
    </row>
    <row r="104" spans="35:100" ht="16.5" customHeight="1">
      <c r="AI104" s="15"/>
      <c r="AP104" s="12">
        <v>95</v>
      </c>
      <c r="AQ104" s="14">
        <f t="shared" si="197"/>
        <v>36892.979166666439</v>
      </c>
      <c r="AR104" s="12" cm="1">
        <f t="array" aca="1" ref="AR104" ca="1">INDIRECT(ADDRESS(2+$AP104,1+MATCH($AB$9,INDIRECT($AB$16&amp;"!$B$2:$R$2"),0),1,1,$AB$16))</f>
        <v>0</v>
      </c>
      <c r="AS104" s="12" cm="1">
        <f t="array" aca="1" ref="AS104" ca="1">INDIRECT(ADDRESS(2+$AP104,1+MATCH($AB$9,INDIRECT($AB$17&amp;"!$B$2:$R$2"),0),1,1,$AB$17))</f>
        <v>0</v>
      </c>
      <c r="AT104" s="12" cm="1">
        <f t="array" aca="1" ref="AT104" ca="1">INDIRECT(ADDRESS(2+$AP104,1+MATCH($AB$9,INDIRECT($AB$18&amp;"!$B$2:$R$2"),0),1,1,$AB$18))</f>
        <v>0</v>
      </c>
      <c r="AX104" s="12">
        <v>95</v>
      </c>
      <c r="AY104" s="14">
        <f t="shared" si="198"/>
        <v>36892.979166666439</v>
      </c>
      <c r="AZ104" s="12" t="b">
        <f t="shared" ca="1" si="185"/>
        <v>1</v>
      </c>
      <c r="BA104" s="12" t="b">
        <f t="shared" ca="1" si="186"/>
        <v>1</v>
      </c>
      <c r="BB104" s="12" t="b">
        <f t="shared" ca="1" si="187"/>
        <v>1</v>
      </c>
      <c r="BE104" s="12">
        <v>95</v>
      </c>
      <c r="BF104" s="14">
        <f t="shared" si="199"/>
        <v>36892.979166666439</v>
      </c>
      <c r="BG104" s="12" t="str">
        <f t="shared" ca="1" si="188"/>
        <v/>
      </c>
      <c r="BH104" s="12" t="str">
        <f t="shared" ca="1" si="189"/>
        <v/>
      </c>
      <c r="BI104" s="12" t="str">
        <f t="shared" ca="1" si="190"/>
        <v/>
      </c>
      <c r="BL104" s="12">
        <v>95</v>
      </c>
      <c r="BM104" s="14">
        <f t="shared" si="200"/>
        <v>36892.979166666439</v>
      </c>
      <c r="BN104" s="12" t="str">
        <f t="shared" ca="1" si="191"/>
        <v/>
      </c>
      <c r="BO104" s="12" t="str">
        <f t="shared" ca="1" si="192"/>
        <v/>
      </c>
      <c r="BP104" s="12" t="str">
        <f t="shared" ca="1" si="193"/>
        <v/>
      </c>
      <c r="BS104" s="12">
        <v>95</v>
      </c>
      <c r="BT104" s="14">
        <f t="shared" si="201"/>
        <v>36892.979166666439</v>
      </c>
      <c r="BU104" s="12" t="str">
        <f t="shared" ca="1" si="194"/>
        <v/>
      </c>
      <c r="BV104" s="12" t="str">
        <f t="shared" ca="1" si="195"/>
        <v/>
      </c>
      <c r="BW104" s="12" t="str">
        <f t="shared" ca="1" si="196"/>
        <v/>
      </c>
      <c r="CA104" s="15"/>
      <c r="CH104" s="15"/>
      <c r="CO104" s="15"/>
      <c r="CV104" s="15"/>
    </row>
    <row r="105" spans="35:100" ht="16.5" customHeight="1">
      <c r="AI105" s="15"/>
      <c r="AP105" s="12">
        <v>96</v>
      </c>
      <c r="AQ105" s="14">
        <f t="shared" si="197"/>
        <v>36892.989583333103</v>
      </c>
      <c r="AR105" s="12" cm="1">
        <f t="array" aca="1" ref="AR105" ca="1">INDIRECT(ADDRESS(2+$AP105,1+MATCH($AB$9,INDIRECT($AB$16&amp;"!$B$2:$R$2"),0),1,1,$AB$16))</f>
        <v>0</v>
      </c>
      <c r="AS105" s="12" cm="1">
        <f t="array" aca="1" ref="AS105" ca="1">INDIRECT(ADDRESS(2+$AP105,1+MATCH($AB$9,INDIRECT($AB$17&amp;"!$B$2:$R$2"),0),1,1,$AB$17))</f>
        <v>0</v>
      </c>
      <c r="AT105" s="12" cm="1">
        <f t="array" aca="1" ref="AT105" ca="1">INDIRECT(ADDRESS(2+$AP105,1+MATCH($AB$9,INDIRECT($AB$18&amp;"!$B$2:$R$2"),0),1,1,$AB$18))</f>
        <v>0</v>
      </c>
      <c r="AX105" s="12">
        <v>96</v>
      </c>
      <c r="AY105" s="14">
        <f t="shared" si="198"/>
        <v>36892.989583333103</v>
      </c>
      <c r="AZ105" s="12" t="b">
        <f t="shared" ca="1" si="185"/>
        <v>1</v>
      </c>
      <c r="BA105" s="12" t="b">
        <f t="shared" ca="1" si="186"/>
        <v>1</v>
      </c>
      <c r="BB105" s="12" t="b">
        <f t="shared" ca="1" si="187"/>
        <v>1</v>
      </c>
      <c r="BE105" s="12">
        <v>96</v>
      </c>
      <c r="BF105" s="14">
        <f t="shared" si="199"/>
        <v>36892.989583333103</v>
      </c>
      <c r="BG105" s="12" t="str">
        <f t="shared" ca="1" si="188"/>
        <v/>
      </c>
      <c r="BH105" s="12" t="str">
        <f t="shared" ca="1" si="189"/>
        <v/>
      </c>
      <c r="BI105" s="12" t="str">
        <f t="shared" ca="1" si="190"/>
        <v/>
      </c>
      <c r="BL105" s="12">
        <v>96</v>
      </c>
      <c r="BM105" s="14">
        <f t="shared" si="200"/>
        <v>36892.989583333103</v>
      </c>
      <c r="BN105" s="12" t="str">
        <f t="shared" ca="1" si="191"/>
        <v/>
      </c>
      <c r="BO105" s="12" t="str">
        <f t="shared" ca="1" si="192"/>
        <v/>
      </c>
      <c r="BP105" s="12" t="str">
        <f t="shared" ca="1" si="193"/>
        <v/>
      </c>
      <c r="BS105" s="12">
        <v>96</v>
      </c>
      <c r="BT105" s="14">
        <f t="shared" si="201"/>
        <v>36892.989583333103</v>
      </c>
      <c r="BU105" s="12" t="str">
        <f t="shared" ca="1" si="194"/>
        <v/>
      </c>
      <c r="BV105" s="12" t="str">
        <f t="shared" ca="1" si="195"/>
        <v/>
      </c>
      <c r="BW105" s="12" t="str">
        <f t="shared" ca="1" si="196"/>
        <v/>
      </c>
      <c r="CA105" s="15"/>
      <c r="CH105" s="15"/>
      <c r="CO105" s="15"/>
      <c r="CV105" s="15"/>
    </row>
    <row r="106" spans="35:100" ht="16.5" customHeight="1">
      <c r="AI106" s="15"/>
      <c r="AQ106" s="15"/>
      <c r="AY106" s="15"/>
      <c r="BF106" s="15"/>
      <c r="BM106" s="15"/>
      <c r="BT106" s="15"/>
      <c r="CA106" s="15"/>
      <c r="CH106" s="15"/>
      <c r="CO106" s="15"/>
      <c r="CV106" s="15"/>
    </row>
    <row r="107" spans="35:100" ht="16.5" customHeight="1">
      <c r="AI107" s="15"/>
      <c r="AQ107" s="15"/>
      <c r="AY107" s="15"/>
      <c r="BF107" s="15"/>
      <c r="BM107" s="15"/>
      <c r="BT107" s="15"/>
      <c r="CA107" s="15"/>
      <c r="CH107" s="15"/>
      <c r="CO107" s="15"/>
      <c r="CV107" s="15"/>
    </row>
    <row r="108" spans="35:100" ht="16.5" customHeight="1">
      <c r="AI108" s="15"/>
      <c r="AQ108" s="15"/>
      <c r="AY108" s="15"/>
      <c r="BF108" s="15"/>
      <c r="BM108" s="15"/>
      <c r="BT108" s="15"/>
      <c r="CA108" s="15"/>
      <c r="CH108" s="15"/>
      <c r="CO108" s="15"/>
      <c r="CV108" s="15"/>
    </row>
    <row r="109" spans="35:100" ht="16.5" customHeight="1">
      <c r="AI109" s="15"/>
      <c r="AQ109" s="15"/>
      <c r="AY109" s="15"/>
      <c r="BF109" s="15"/>
      <c r="BM109" s="15"/>
      <c r="BT109" s="15"/>
      <c r="CA109" s="15"/>
      <c r="CH109" s="15"/>
      <c r="CO109" s="15"/>
      <c r="CV109" s="15"/>
    </row>
    <row r="110" spans="35:100" ht="16.5" customHeight="1">
      <c r="AI110" s="15"/>
      <c r="AQ110" s="15"/>
      <c r="AY110" s="15"/>
      <c r="BF110" s="15"/>
      <c r="BM110" s="15"/>
      <c r="BT110" s="15"/>
      <c r="CA110" s="15"/>
      <c r="CH110" s="15"/>
      <c r="CO110" s="15"/>
      <c r="CV110" s="15"/>
    </row>
    <row r="111" spans="35:100" ht="16.5" customHeight="1">
      <c r="AI111" s="15"/>
      <c r="AQ111" s="15"/>
      <c r="AY111" s="15"/>
      <c r="BF111" s="15"/>
      <c r="BM111" s="15"/>
      <c r="BT111" s="15"/>
      <c r="CA111" s="15"/>
      <c r="CH111" s="15"/>
      <c r="CO111" s="15"/>
      <c r="CV111" s="15"/>
    </row>
    <row r="112" spans="35:100" ht="16.5" customHeight="1">
      <c r="AI112" s="15"/>
      <c r="AQ112" s="15"/>
      <c r="AY112" s="15"/>
      <c r="BF112" s="15"/>
      <c r="BM112" s="15"/>
      <c r="BT112" s="15"/>
      <c r="CA112" s="15"/>
      <c r="CH112" s="15"/>
      <c r="CO112" s="15"/>
      <c r="CV112" s="15"/>
    </row>
    <row r="113" spans="35:100" ht="16.5" customHeight="1">
      <c r="AI113" s="15"/>
      <c r="AQ113" s="15"/>
      <c r="AY113" s="15"/>
      <c r="BF113" s="15"/>
      <c r="BM113" s="15"/>
      <c r="BT113" s="15"/>
      <c r="CA113" s="15"/>
      <c r="CH113" s="15"/>
      <c r="CO113" s="15"/>
      <c r="CV113" s="15"/>
    </row>
    <row r="114" spans="35:100" ht="16.5" customHeight="1">
      <c r="AI114" s="15"/>
      <c r="AQ114" s="15"/>
      <c r="AY114" s="15"/>
      <c r="BF114" s="15"/>
      <c r="BM114" s="15"/>
      <c r="BT114" s="15"/>
      <c r="CA114" s="15"/>
      <c r="CH114" s="15"/>
      <c r="CO114" s="15"/>
      <c r="CV114" s="15"/>
    </row>
    <row r="115" spans="35:100" ht="16.5" customHeight="1">
      <c r="AI115" s="15"/>
      <c r="AQ115" s="15"/>
      <c r="AY115" s="15"/>
      <c r="BF115" s="15"/>
      <c r="BM115" s="15"/>
      <c r="BT115" s="15"/>
      <c r="CA115" s="15"/>
      <c r="CH115" s="15"/>
      <c r="CO115" s="15"/>
      <c r="CV115" s="15"/>
    </row>
    <row r="116" spans="35:100" ht="16.5" customHeight="1">
      <c r="AI116" s="15"/>
      <c r="AQ116" s="15"/>
      <c r="AY116" s="15"/>
      <c r="BF116" s="15"/>
      <c r="BM116" s="15"/>
      <c r="BT116" s="15"/>
      <c r="CA116" s="15"/>
      <c r="CH116" s="15"/>
      <c r="CO116" s="15"/>
      <c r="CV116" s="15"/>
    </row>
    <row r="117" spans="35:100" ht="16.5" customHeight="1">
      <c r="AI117" s="15"/>
      <c r="AQ117" s="15"/>
      <c r="AY117" s="15"/>
      <c r="BF117" s="15"/>
      <c r="BM117" s="15"/>
      <c r="BT117" s="15"/>
      <c r="CA117" s="15"/>
      <c r="CH117" s="15"/>
      <c r="CO117" s="15"/>
      <c r="CV117" s="15"/>
    </row>
    <row r="118" spans="35:100" ht="16.5" customHeight="1">
      <c r="AI118" s="15"/>
      <c r="AQ118" s="15"/>
      <c r="AY118" s="15"/>
      <c r="BF118" s="15"/>
      <c r="BM118" s="15"/>
      <c r="BT118" s="15"/>
      <c r="CA118" s="15"/>
      <c r="CH118" s="15"/>
      <c r="CO118" s="15"/>
      <c r="CV118" s="15"/>
    </row>
    <row r="119" spans="35:100" ht="16.5" customHeight="1">
      <c r="AI119" s="15"/>
      <c r="AQ119" s="15"/>
      <c r="AY119" s="15"/>
      <c r="BF119" s="15"/>
      <c r="BM119" s="15"/>
      <c r="BT119" s="15"/>
      <c r="CA119" s="15"/>
      <c r="CH119" s="15"/>
      <c r="CO119" s="15"/>
      <c r="CV119" s="15"/>
    </row>
    <row r="120" spans="35:100" ht="16.5" customHeight="1">
      <c r="AI120" s="15"/>
      <c r="AQ120" s="15"/>
      <c r="AY120" s="15"/>
      <c r="BF120" s="15"/>
      <c r="BM120" s="15"/>
      <c r="BT120" s="15"/>
      <c r="CA120" s="15"/>
      <c r="CH120" s="15"/>
      <c r="CO120" s="15"/>
      <c r="CV120" s="15"/>
    </row>
    <row r="121" spans="35:100" ht="16.5" customHeight="1">
      <c r="AI121" s="15"/>
      <c r="AQ121" s="15"/>
      <c r="AY121" s="15"/>
      <c r="BF121" s="15"/>
      <c r="BM121" s="15"/>
      <c r="BT121" s="15"/>
      <c r="CA121" s="15"/>
      <c r="CH121" s="15"/>
      <c r="CO121" s="15"/>
      <c r="CV121" s="15"/>
    </row>
    <row r="122" spans="35:100" ht="16.5" customHeight="1">
      <c r="AI122" s="15"/>
      <c r="AQ122" s="15"/>
      <c r="AY122" s="15"/>
      <c r="BF122" s="15"/>
      <c r="BM122" s="15"/>
      <c r="BT122" s="15"/>
      <c r="CA122" s="15"/>
      <c r="CH122" s="15"/>
      <c r="CO122" s="15"/>
      <c r="CV122" s="15"/>
    </row>
    <row r="123" spans="35:100" ht="16.5" customHeight="1">
      <c r="AI123" s="15"/>
      <c r="AQ123" s="15"/>
      <c r="AY123" s="15"/>
      <c r="BF123" s="15"/>
      <c r="BM123" s="15"/>
      <c r="BT123" s="15"/>
      <c r="CA123" s="15"/>
      <c r="CH123" s="15"/>
      <c r="CO123" s="15"/>
      <c r="CV123" s="15"/>
    </row>
    <row r="124" spans="35:100" ht="16.5" customHeight="1">
      <c r="AI124" s="15"/>
      <c r="AQ124" s="15"/>
      <c r="AY124" s="15"/>
      <c r="BF124" s="15"/>
      <c r="BM124" s="15"/>
      <c r="BT124" s="15"/>
      <c r="CA124" s="15"/>
      <c r="CH124" s="15"/>
      <c r="CO124" s="15"/>
      <c r="CV124" s="15"/>
    </row>
    <row r="125" spans="35:100" ht="16.5" customHeight="1">
      <c r="AI125" s="15"/>
      <c r="AQ125" s="15"/>
      <c r="AY125" s="15"/>
      <c r="BF125" s="15"/>
      <c r="BM125" s="15"/>
      <c r="BT125" s="15"/>
      <c r="CA125" s="15"/>
      <c r="CH125" s="15"/>
      <c r="CO125" s="15"/>
      <c r="CV125" s="15"/>
    </row>
    <row r="126" spans="35:100" ht="16.5" customHeight="1">
      <c r="AI126" s="15"/>
      <c r="AQ126" s="15"/>
      <c r="AY126" s="15"/>
      <c r="BF126" s="15"/>
      <c r="BM126" s="15"/>
      <c r="BT126" s="15"/>
      <c r="CA126" s="15"/>
      <c r="CH126" s="15"/>
      <c r="CO126" s="15"/>
      <c r="CV126" s="15"/>
    </row>
    <row r="127" spans="35:100" ht="16.5" customHeight="1">
      <c r="AI127" s="15"/>
      <c r="AQ127" s="15"/>
      <c r="AY127" s="15"/>
      <c r="BF127" s="15"/>
      <c r="BM127" s="15"/>
      <c r="BT127" s="15"/>
      <c r="CA127" s="15"/>
      <c r="CH127" s="15"/>
      <c r="CO127" s="15"/>
      <c r="CV127" s="15"/>
    </row>
    <row r="128" spans="35:100" ht="16.5" customHeight="1">
      <c r="AI128" s="15"/>
      <c r="AQ128" s="15"/>
      <c r="AY128" s="15"/>
      <c r="BF128" s="15"/>
      <c r="BM128" s="15"/>
      <c r="BT128" s="15"/>
      <c r="CA128" s="15"/>
      <c r="CH128" s="15"/>
      <c r="CO128" s="15"/>
      <c r="CV128" s="15"/>
    </row>
    <row r="129" spans="35:100" ht="16.5" customHeight="1">
      <c r="AI129" s="15"/>
      <c r="AQ129" s="15"/>
      <c r="AY129" s="15"/>
      <c r="BF129" s="15"/>
      <c r="BM129" s="15"/>
      <c r="BT129" s="15"/>
      <c r="CA129" s="15"/>
      <c r="CH129" s="15"/>
      <c r="CO129" s="15"/>
      <c r="CV129" s="15"/>
    </row>
    <row r="130" spans="35:100" ht="16.5" customHeight="1">
      <c r="AI130" s="15"/>
      <c r="AQ130" s="15"/>
      <c r="AY130" s="15"/>
      <c r="BF130" s="15"/>
      <c r="BM130" s="15"/>
      <c r="BT130" s="15"/>
      <c r="CA130" s="15"/>
      <c r="CH130" s="15"/>
      <c r="CO130" s="15"/>
      <c r="CV130" s="15"/>
    </row>
    <row r="131" spans="35:100" ht="16.5" customHeight="1">
      <c r="AI131" s="15"/>
      <c r="AQ131" s="15"/>
      <c r="AY131" s="15"/>
      <c r="BF131" s="15"/>
      <c r="BM131" s="15"/>
      <c r="BT131" s="15"/>
      <c r="CA131" s="15"/>
      <c r="CH131" s="15"/>
      <c r="CO131" s="15"/>
      <c r="CV131" s="15"/>
    </row>
    <row r="132" spans="35:100" ht="16.5" customHeight="1">
      <c r="AI132" s="15"/>
      <c r="AQ132" s="15"/>
      <c r="AY132" s="15"/>
      <c r="BF132" s="15"/>
      <c r="BM132" s="15"/>
      <c r="BT132" s="15"/>
      <c r="CA132" s="15"/>
      <c r="CH132" s="15"/>
      <c r="CO132" s="15"/>
      <c r="CV132" s="15"/>
    </row>
    <row r="133" spans="35:100" ht="16.5" customHeight="1">
      <c r="AI133" s="15"/>
      <c r="AQ133" s="15"/>
      <c r="AY133" s="15"/>
      <c r="BF133" s="15"/>
      <c r="BM133" s="15"/>
      <c r="BT133" s="15"/>
      <c r="CA133" s="15"/>
      <c r="CH133" s="15"/>
      <c r="CO133" s="15"/>
      <c r="CV133" s="15"/>
    </row>
    <row r="134" spans="35:100" ht="16.5" customHeight="1">
      <c r="AI134" s="15"/>
      <c r="AQ134" s="15"/>
      <c r="AY134" s="15"/>
      <c r="BF134" s="15"/>
      <c r="BM134" s="15"/>
      <c r="BT134" s="15"/>
      <c r="CA134" s="15"/>
      <c r="CH134" s="15"/>
      <c r="CO134" s="15"/>
      <c r="CV134" s="15"/>
    </row>
    <row r="135" spans="35:100" ht="16.5" customHeight="1">
      <c r="AI135" s="15"/>
      <c r="AQ135" s="15"/>
      <c r="AY135" s="15"/>
      <c r="BF135" s="15"/>
      <c r="BM135" s="15"/>
      <c r="BT135" s="15"/>
      <c r="CA135" s="15"/>
      <c r="CH135" s="15"/>
      <c r="CO135" s="15"/>
      <c r="CV135" s="15"/>
    </row>
    <row r="136" spans="35:100" ht="16.5" customHeight="1">
      <c r="AI136" s="15"/>
      <c r="AQ136" s="15"/>
      <c r="AY136" s="15"/>
      <c r="BF136" s="15"/>
      <c r="BM136" s="15"/>
      <c r="BT136" s="15"/>
      <c r="CA136" s="15"/>
      <c r="CH136" s="15"/>
      <c r="CO136" s="15"/>
      <c r="CV136" s="15"/>
    </row>
    <row r="137" spans="35:100" ht="16.5" customHeight="1">
      <c r="AI137" s="15"/>
      <c r="AQ137" s="15"/>
      <c r="AY137" s="15"/>
      <c r="BF137" s="15"/>
      <c r="BM137" s="15"/>
      <c r="BT137" s="15"/>
      <c r="CA137" s="15"/>
      <c r="CH137" s="15"/>
      <c r="CO137" s="15"/>
      <c r="CV137" s="15"/>
    </row>
    <row r="138" spans="35:100" ht="16.5" customHeight="1">
      <c r="AI138" s="15"/>
      <c r="AQ138" s="15"/>
      <c r="AY138" s="15"/>
      <c r="BF138" s="15"/>
      <c r="BM138" s="15"/>
      <c r="BT138" s="15"/>
      <c r="CA138" s="15"/>
      <c r="CH138" s="15"/>
      <c r="CO138" s="15"/>
      <c r="CV138" s="15"/>
    </row>
    <row r="139" spans="35:100" ht="16.5" customHeight="1">
      <c r="AI139" s="15"/>
      <c r="AQ139" s="15"/>
      <c r="AY139" s="15"/>
      <c r="BF139" s="15"/>
      <c r="BM139" s="15"/>
      <c r="BT139" s="15"/>
      <c r="CA139" s="15"/>
      <c r="CH139" s="15"/>
      <c r="CO139" s="15"/>
      <c r="CV139" s="15"/>
    </row>
    <row r="140" spans="35:100" ht="16.5" customHeight="1">
      <c r="AI140" s="15"/>
      <c r="AQ140" s="15"/>
      <c r="AY140" s="15"/>
      <c r="BF140" s="15"/>
      <c r="BM140" s="15"/>
      <c r="BT140" s="15"/>
      <c r="CA140" s="15"/>
      <c r="CH140" s="15"/>
      <c r="CO140" s="15"/>
      <c r="CV140" s="15"/>
    </row>
    <row r="141" spans="35:100" ht="16.5" customHeight="1">
      <c r="AI141" s="15"/>
      <c r="AQ141" s="15"/>
      <c r="AY141" s="15"/>
      <c r="BF141" s="15"/>
      <c r="BM141" s="15"/>
      <c r="BT141" s="15"/>
      <c r="CA141" s="15"/>
      <c r="CH141" s="15"/>
      <c r="CO141" s="15"/>
      <c r="CV141" s="15"/>
    </row>
    <row r="142" spans="35:100" ht="16.5" customHeight="1">
      <c r="AI142" s="15"/>
      <c r="AQ142" s="15"/>
      <c r="AY142" s="15"/>
      <c r="BF142" s="15"/>
      <c r="BM142" s="15"/>
      <c r="BT142" s="15"/>
      <c r="CA142" s="15"/>
      <c r="CH142" s="15"/>
      <c r="CO142" s="15"/>
      <c r="CV142" s="15"/>
    </row>
    <row r="143" spans="35:100" ht="16.5" customHeight="1">
      <c r="AI143" s="15"/>
      <c r="AQ143" s="15"/>
      <c r="AY143" s="15"/>
      <c r="BF143" s="15"/>
      <c r="BM143" s="15"/>
      <c r="BT143" s="15"/>
      <c r="CA143" s="15"/>
      <c r="CH143" s="15"/>
      <c r="CO143" s="15"/>
      <c r="CV143" s="15"/>
    </row>
    <row r="144" spans="35:100" ht="16.5" customHeight="1">
      <c r="AI144" s="15"/>
      <c r="AQ144" s="15"/>
      <c r="AY144" s="15"/>
      <c r="BF144" s="15"/>
      <c r="BM144" s="15"/>
      <c r="BT144" s="15"/>
      <c r="CA144" s="15"/>
      <c r="CH144" s="15"/>
      <c r="CO144" s="15"/>
      <c r="CV144" s="15"/>
    </row>
    <row r="145" spans="35:100" ht="16.5" customHeight="1">
      <c r="AI145" s="15"/>
      <c r="AQ145" s="15"/>
      <c r="AY145" s="15"/>
      <c r="BF145" s="15"/>
      <c r="BM145" s="15"/>
      <c r="BT145" s="15"/>
      <c r="CA145" s="15"/>
      <c r="CH145" s="15"/>
      <c r="CO145" s="15"/>
      <c r="CV145" s="15"/>
    </row>
    <row r="146" spans="35:100" ht="16.5" customHeight="1">
      <c r="AI146" s="15"/>
      <c r="AQ146" s="15"/>
      <c r="AY146" s="15"/>
      <c r="BF146" s="15"/>
      <c r="BM146" s="15"/>
      <c r="BT146" s="15"/>
      <c r="CA146" s="15"/>
      <c r="CH146" s="15"/>
      <c r="CO146" s="15"/>
      <c r="CV146" s="15"/>
    </row>
    <row r="147" spans="35:100" ht="16.5" customHeight="1">
      <c r="AI147" s="15"/>
      <c r="AQ147" s="15"/>
      <c r="AY147" s="15"/>
      <c r="BF147" s="15"/>
      <c r="BM147" s="15"/>
      <c r="BT147" s="15"/>
      <c r="CA147" s="15"/>
      <c r="CH147" s="15"/>
      <c r="CO147" s="15"/>
      <c r="CV147" s="15"/>
    </row>
    <row r="148" spans="35:100" ht="16.5" customHeight="1">
      <c r="AI148" s="15"/>
      <c r="AQ148" s="15"/>
      <c r="AY148" s="15"/>
      <c r="BF148" s="15"/>
      <c r="BM148" s="15"/>
      <c r="BT148" s="15"/>
      <c r="CA148" s="15"/>
      <c r="CH148" s="15"/>
      <c r="CO148" s="15"/>
      <c r="CV148" s="15"/>
    </row>
    <row r="149" spans="35:100" ht="16.5" customHeight="1">
      <c r="AI149" s="15"/>
      <c r="AQ149" s="15"/>
      <c r="AY149" s="15"/>
      <c r="BF149" s="15"/>
      <c r="BM149" s="15"/>
      <c r="BT149" s="15"/>
      <c r="CA149" s="15"/>
      <c r="CH149" s="15"/>
      <c r="CO149" s="15"/>
      <c r="CV149" s="15"/>
    </row>
    <row r="150" spans="35:100" ht="16.5" customHeight="1">
      <c r="AI150" s="15"/>
      <c r="AQ150" s="15"/>
      <c r="AY150" s="15"/>
      <c r="BF150" s="15"/>
      <c r="BM150" s="15"/>
      <c r="BT150" s="15"/>
      <c r="CA150" s="15"/>
      <c r="CH150" s="15"/>
      <c r="CO150" s="15"/>
      <c r="CV150" s="15"/>
    </row>
    <row r="151" spans="35:100" ht="16.5" customHeight="1">
      <c r="AI151" s="15"/>
      <c r="AQ151" s="15"/>
      <c r="AY151" s="15"/>
      <c r="BF151" s="15"/>
      <c r="BM151" s="15"/>
      <c r="BT151" s="15"/>
      <c r="CA151" s="15"/>
      <c r="CH151" s="15"/>
      <c r="CO151" s="15"/>
      <c r="CV151" s="15"/>
    </row>
    <row r="152" spans="35:100" ht="16.5" customHeight="1">
      <c r="AI152" s="15"/>
      <c r="AQ152" s="15"/>
      <c r="AY152" s="15"/>
      <c r="BF152" s="15"/>
      <c r="BM152" s="15"/>
      <c r="BT152" s="15"/>
      <c r="CA152" s="15"/>
      <c r="CH152" s="15"/>
      <c r="CO152" s="15"/>
      <c r="CV152" s="15"/>
    </row>
    <row r="153" spans="35:100" ht="16.5" customHeight="1">
      <c r="AI153" s="15"/>
      <c r="AQ153" s="15"/>
      <c r="AY153" s="15"/>
      <c r="BF153" s="15"/>
      <c r="BM153" s="15"/>
      <c r="BT153" s="15"/>
      <c r="CA153" s="15"/>
      <c r="CH153" s="15"/>
      <c r="CO153" s="15"/>
      <c r="CV153" s="15"/>
    </row>
    <row r="154" spans="35:100" ht="16.5" customHeight="1">
      <c r="AI154" s="15"/>
      <c r="AQ154" s="15"/>
      <c r="AY154" s="15"/>
      <c r="BF154" s="15"/>
      <c r="BM154" s="15"/>
      <c r="BT154" s="15"/>
      <c r="CA154" s="15"/>
      <c r="CH154" s="15"/>
      <c r="CO154" s="15"/>
      <c r="CV154" s="15"/>
    </row>
    <row r="155" spans="35:100" ht="16.5" customHeight="1">
      <c r="AI155" s="15"/>
      <c r="AQ155" s="15"/>
      <c r="AY155" s="15"/>
      <c r="BF155" s="15"/>
      <c r="BM155" s="15"/>
      <c r="BT155" s="15"/>
      <c r="CA155" s="15"/>
      <c r="CH155" s="15"/>
      <c r="CO155" s="15"/>
      <c r="CV155" s="15"/>
    </row>
    <row r="156" spans="35:100" ht="16.5" customHeight="1">
      <c r="AI156" s="15"/>
      <c r="AQ156" s="15"/>
      <c r="AY156" s="15"/>
      <c r="BF156" s="15"/>
      <c r="BM156" s="15"/>
      <c r="BT156" s="15"/>
      <c r="CA156" s="15"/>
      <c r="CH156" s="15"/>
      <c r="CO156" s="15"/>
      <c r="CV156" s="15"/>
    </row>
    <row r="157" spans="35:100" ht="16.5" customHeight="1">
      <c r="AI157" s="15"/>
      <c r="AQ157" s="15"/>
      <c r="AY157" s="15"/>
      <c r="BF157" s="15"/>
      <c r="BM157" s="15"/>
      <c r="BT157" s="15"/>
      <c r="CA157" s="15"/>
      <c r="CH157" s="15"/>
      <c r="CO157" s="15"/>
      <c r="CV157" s="15"/>
    </row>
    <row r="158" spans="35:100" ht="16.5" customHeight="1">
      <c r="AI158" s="15"/>
      <c r="AQ158" s="15"/>
      <c r="AY158" s="15"/>
      <c r="BF158" s="15"/>
      <c r="BM158" s="15"/>
      <c r="BT158" s="15"/>
      <c r="CA158" s="15"/>
      <c r="CH158" s="15"/>
      <c r="CO158" s="15"/>
      <c r="CV158" s="15"/>
    </row>
    <row r="159" spans="35:100" ht="16.5" customHeight="1">
      <c r="AI159" s="15"/>
      <c r="AQ159" s="15"/>
      <c r="AY159" s="15"/>
      <c r="BF159" s="15"/>
      <c r="BM159" s="15"/>
      <c r="BT159" s="15"/>
      <c r="CA159" s="15"/>
      <c r="CH159" s="15"/>
      <c r="CO159" s="15"/>
      <c r="CV159" s="15"/>
    </row>
    <row r="160" spans="35:100" ht="16.5" customHeight="1">
      <c r="AI160" s="15"/>
      <c r="AQ160" s="15"/>
      <c r="AY160" s="15"/>
      <c r="BF160" s="15"/>
      <c r="BM160" s="15"/>
      <c r="BT160" s="15"/>
      <c r="CA160" s="15"/>
      <c r="CH160" s="15"/>
      <c r="CO160" s="15"/>
      <c r="CV160" s="15"/>
    </row>
    <row r="161" spans="35:100" ht="16.5" customHeight="1">
      <c r="AI161" s="15"/>
      <c r="AQ161" s="15"/>
      <c r="AY161" s="15"/>
      <c r="BF161" s="15"/>
      <c r="BM161" s="15"/>
      <c r="BT161" s="15"/>
      <c r="CA161" s="15"/>
      <c r="CH161" s="15"/>
      <c r="CO161" s="15"/>
      <c r="CV161" s="15"/>
    </row>
    <row r="162" spans="35:100" ht="16.5" customHeight="1">
      <c r="AI162" s="15"/>
      <c r="AQ162" s="15"/>
      <c r="AY162" s="15"/>
      <c r="BF162" s="15"/>
      <c r="BM162" s="15"/>
      <c r="BT162" s="15"/>
      <c r="CA162" s="15"/>
      <c r="CH162" s="15"/>
      <c r="CO162" s="15"/>
      <c r="CV162" s="15"/>
    </row>
    <row r="163" spans="35:100" ht="16.5" customHeight="1">
      <c r="AI163" s="15"/>
      <c r="AQ163" s="15"/>
      <c r="AY163" s="15"/>
      <c r="BF163" s="15"/>
      <c r="BM163" s="15"/>
      <c r="BT163" s="15"/>
      <c r="CA163" s="15"/>
      <c r="CH163" s="15"/>
      <c r="CO163" s="15"/>
      <c r="CV163" s="15"/>
    </row>
    <row r="164" spans="35:100" ht="16.5" customHeight="1">
      <c r="AI164" s="15"/>
      <c r="AQ164" s="15"/>
      <c r="AY164" s="15"/>
      <c r="BF164" s="15"/>
      <c r="BM164" s="15"/>
      <c r="BT164" s="15"/>
      <c r="CA164" s="15"/>
      <c r="CH164" s="15"/>
      <c r="CO164" s="15"/>
      <c r="CV164" s="15"/>
    </row>
    <row r="165" spans="35:100" ht="16.5" customHeight="1">
      <c r="AI165" s="15"/>
      <c r="AQ165" s="15"/>
      <c r="AY165" s="15"/>
      <c r="BF165" s="15"/>
      <c r="BM165" s="15"/>
      <c r="BT165" s="15"/>
      <c r="CA165" s="15"/>
      <c r="CH165" s="15"/>
      <c r="CO165" s="15"/>
      <c r="CV165" s="15"/>
    </row>
    <row r="166" spans="35:100" ht="16.5" customHeight="1">
      <c r="AI166" s="15"/>
      <c r="AQ166" s="15"/>
      <c r="AY166" s="15"/>
      <c r="BF166" s="15"/>
      <c r="BM166" s="15"/>
      <c r="BT166" s="15"/>
      <c r="CA166" s="15"/>
      <c r="CH166" s="15"/>
      <c r="CO166" s="15"/>
      <c r="CV166" s="15"/>
    </row>
    <row r="167" spans="35:100" ht="16.5" customHeight="1">
      <c r="AI167" s="15"/>
      <c r="AQ167" s="15"/>
      <c r="AY167" s="15"/>
      <c r="BF167" s="15"/>
      <c r="BM167" s="15"/>
      <c r="BT167" s="15"/>
      <c r="CA167" s="15"/>
      <c r="CH167" s="15"/>
      <c r="CO167" s="15"/>
      <c r="CV167" s="15"/>
    </row>
    <row r="168" spans="35:100" ht="16.5" customHeight="1">
      <c r="AI168" s="15"/>
      <c r="AQ168" s="15"/>
      <c r="AY168" s="15"/>
      <c r="BF168" s="15"/>
      <c r="BM168" s="15"/>
      <c r="BT168" s="15"/>
      <c r="CA168" s="15"/>
      <c r="CH168" s="15"/>
      <c r="CO168" s="15"/>
      <c r="CV168" s="15"/>
    </row>
    <row r="169" spans="35:100" ht="16.5" customHeight="1">
      <c r="AI169" s="15"/>
      <c r="AQ169" s="15"/>
      <c r="AY169" s="15"/>
      <c r="BF169" s="15"/>
      <c r="BM169" s="15"/>
      <c r="BT169" s="15"/>
      <c r="CA169" s="15"/>
      <c r="CH169" s="15"/>
      <c r="CO169" s="15"/>
      <c r="CV169" s="15"/>
    </row>
    <row r="170" spans="35:100" ht="16.5" customHeight="1">
      <c r="AI170" s="15"/>
      <c r="AQ170" s="15"/>
      <c r="AY170" s="15"/>
      <c r="BF170" s="15"/>
      <c r="BM170" s="15"/>
      <c r="BT170" s="15"/>
      <c r="CA170" s="15"/>
      <c r="CH170" s="15"/>
      <c r="CO170" s="15"/>
      <c r="CV170" s="15"/>
    </row>
    <row r="171" spans="35:100" ht="16.5" customHeight="1">
      <c r="AI171" s="15"/>
      <c r="AQ171" s="15"/>
      <c r="AY171" s="15"/>
      <c r="BF171" s="15"/>
      <c r="BM171" s="15"/>
      <c r="BT171" s="15"/>
      <c r="CA171" s="15"/>
      <c r="CH171" s="15"/>
      <c r="CO171" s="15"/>
      <c r="CV171" s="15"/>
    </row>
    <row r="172" spans="35:100" ht="16.5" customHeight="1">
      <c r="AI172" s="15"/>
      <c r="AQ172" s="15"/>
      <c r="AY172" s="15"/>
      <c r="BF172" s="15"/>
      <c r="BM172" s="15"/>
      <c r="BT172" s="15"/>
      <c r="CA172" s="15"/>
      <c r="CH172" s="15"/>
      <c r="CO172" s="15"/>
      <c r="CV172" s="15"/>
    </row>
    <row r="173" spans="35:100" ht="16.5" customHeight="1">
      <c r="AI173" s="15"/>
      <c r="AQ173" s="15"/>
      <c r="AY173" s="15"/>
      <c r="BF173" s="15"/>
      <c r="BM173" s="15"/>
      <c r="BT173" s="15"/>
      <c r="CA173" s="15"/>
      <c r="CH173" s="15"/>
      <c r="CO173" s="15"/>
      <c r="CV173" s="15"/>
    </row>
    <row r="174" spans="35:100" ht="16.5" customHeight="1">
      <c r="AI174" s="15"/>
      <c r="AQ174" s="15"/>
      <c r="AY174" s="15"/>
      <c r="BF174" s="15"/>
      <c r="BM174" s="15"/>
      <c r="BT174" s="15"/>
      <c r="CA174" s="15"/>
      <c r="CH174" s="15"/>
      <c r="CO174" s="15"/>
      <c r="CV174" s="15"/>
    </row>
    <row r="175" spans="35:100" ht="16.5" customHeight="1">
      <c r="AI175" s="15"/>
      <c r="AQ175" s="15"/>
      <c r="AY175" s="15"/>
      <c r="BF175" s="15"/>
      <c r="BM175" s="15"/>
      <c r="BT175" s="15"/>
      <c r="CA175" s="15"/>
      <c r="CH175" s="15"/>
      <c r="CO175" s="15"/>
      <c r="CV175" s="15"/>
    </row>
    <row r="176" spans="35:100" ht="16.5" customHeight="1">
      <c r="AI176" s="15"/>
      <c r="AQ176" s="15"/>
      <c r="AY176" s="15"/>
      <c r="BF176" s="15"/>
      <c r="BM176" s="15"/>
      <c r="BT176" s="15"/>
      <c r="CA176" s="15"/>
      <c r="CH176" s="15"/>
      <c r="CO176" s="15"/>
      <c r="CV176" s="15"/>
    </row>
    <row r="177" spans="35:100" ht="16.5" customHeight="1">
      <c r="AI177" s="15"/>
      <c r="AQ177" s="15"/>
      <c r="AY177" s="15"/>
      <c r="BF177" s="15"/>
      <c r="BM177" s="15"/>
      <c r="BT177" s="15"/>
      <c r="CA177" s="15"/>
      <c r="CH177" s="15"/>
      <c r="CO177" s="15"/>
      <c r="CV177" s="15"/>
    </row>
    <row r="178" spans="35:100" ht="16.5" customHeight="1">
      <c r="AI178" s="15"/>
      <c r="AQ178" s="15"/>
      <c r="AY178" s="15"/>
      <c r="BF178" s="15"/>
      <c r="BM178" s="15"/>
      <c r="BT178" s="15"/>
      <c r="CA178" s="15"/>
      <c r="CH178" s="15"/>
      <c r="CO178" s="15"/>
      <c r="CV178" s="15"/>
    </row>
    <row r="179" spans="35:100" ht="16.5" customHeight="1">
      <c r="AI179" s="15"/>
      <c r="AQ179" s="15"/>
      <c r="AY179" s="15"/>
      <c r="BF179" s="15"/>
      <c r="BM179" s="15"/>
      <c r="BT179" s="15"/>
      <c r="CA179" s="15"/>
      <c r="CH179" s="15"/>
      <c r="CO179" s="15"/>
      <c r="CV179" s="15"/>
    </row>
    <row r="180" spans="35:100" ht="16.5" customHeight="1">
      <c r="AI180" s="15"/>
      <c r="AQ180" s="15"/>
      <c r="AY180" s="15"/>
      <c r="BF180" s="15"/>
      <c r="BM180" s="15"/>
      <c r="BT180" s="15"/>
      <c r="CA180" s="15"/>
      <c r="CH180" s="15"/>
      <c r="CO180" s="15"/>
      <c r="CV180" s="15"/>
    </row>
    <row r="181" spans="35:100" ht="16.5" customHeight="1">
      <c r="AI181" s="15"/>
      <c r="AQ181" s="15"/>
      <c r="AY181" s="15"/>
      <c r="BF181" s="15"/>
      <c r="BM181" s="15"/>
      <c r="BT181" s="15"/>
      <c r="CA181" s="15"/>
      <c r="CH181" s="15"/>
      <c r="CO181" s="15"/>
      <c r="CV181" s="15"/>
    </row>
    <row r="182" spans="35:100" ht="16.5" customHeight="1">
      <c r="AI182" s="15"/>
      <c r="AQ182" s="15"/>
      <c r="AY182" s="15"/>
      <c r="BF182" s="15"/>
      <c r="BM182" s="15"/>
      <c r="BT182" s="15"/>
      <c r="CA182" s="15"/>
      <c r="CH182" s="15"/>
      <c r="CO182" s="15"/>
      <c r="CV182" s="15"/>
    </row>
    <row r="183" spans="35:100" ht="16.5" customHeight="1">
      <c r="AI183" s="15"/>
      <c r="AQ183" s="15"/>
      <c r="AY183" s="15"/>
      <c r="BF183" s="15"/>
      <c r="BM183" s="15"/>
      <c r="BT183" s="15"/>
      <c r="CA183" s="15"/>
      <c r="CH183" s="15"/>
      <c r="CO183" s="15"/>
      <c r="CV183" s="15"/>
    </row>
    <row r="184" spans="35:100" ht="16.5" customHeight="1">
      <c r="AI184" s="15"/>
      <c r="AQ184" s="15"/>
      <c r="AY184" s="15"/>
      <c r="BF184" s="15"/>
      <c r="BM184" s="15"/>
      <c r="BT184" s="15"/>
      <c r="CA184" s="15"/>
      <c r="CH184" s="15"/>
      <c r="CO184" s="15"/>
      <c r="CV184" s="15"/>
    </row>
    <row r="185" spans="35:100" ht="16.5" customHeight="1">
      <c r="AI185" s="15"/>
      <c r="AQ185" s="15"/>
      <c r="AY185" s="15"/>
      <c r="BF185" s="15"/>
      <c r="BM185" s="15"/>
      <c r="BT185" s="15"/>
      <c r="CA185" s="15"/>
      <c r="CH185" s="15"/>
      <c r="CO185" s="15"/>
      <c r="CV185" s="15"/>
    </row>
    <row r="186" spans="35:100" ht="16.5" customHeight="1">
      <c r="AI186" s="15"/>
      <c r="AQ186" s="15"/>
      <c r="AY186" s="15"/>
      <c r="BF186" s="15"/>
      <c r="BM186" s="15"/>
      <c r="BT186" s="15"/>
      <c r="CA186" s="15"/>
      <c r="CH186" s="15"/>
      <c r="CO186" s="15"/>
      <c r="CV186" s="15"/>
    </row>
    <row r="187" spans="35:100" ht="16.5" customHeight="1">
      <c r="AI187" s="15"/>
      <c r="AQ187" s="15"/>
      <c r="AY187" s="15"/>
      <c r="BF187" s="15"/>
      <c r="BM187" s="15"/>
      <c r="BT187" s="15"/>
      <c r="CA187" s="15"/>
      <c r="CH187" s="15"/>
      <c r="CO187" s="15"/>
      <c r="CV187" s="15"/>
    </row>
    <row r="188" spans="35:100" ht="16.5" customHeight="1">
      <c r="AI188" s="15"/>
      <c r="AQ188" s="15"/>
      <c r="AY188" s="15"/>
      <c r="BF188" s="15"/>
      <c r="BM188" s="15"/>
      <c r="BT188" s="15"/>
      <c r="CA188" s="15"/>
      <c r="CH188" s="15"/>
      <c r="CO188" s="15"/>
      <c r="CV188" s="15"/>
    </row>
    <row r="189" spans="35:100" ht="16.5" customHeight="1">
      <c r="AI189" s="15"/>
      <c r="AQ189" s="15"/>
      <c r="AY189" s="15"/>
      <c r="BF189" s="15"/>
      <c r="BM189" s="15"/>
      <c r="BT189" s="15"/>
      <c r="CA189" s="15"/>
      <c r="CH189" s="15"/>
      <c r="CO189" s="15"/>
      <c r="CV189" s="15"/>
    </row>
    <row r="190" spans="35:100" ht="16.5" customHeight="1">
      <c r="AI190" s="15"/>
      <c r="AQ190" s="15"/>
      <c r="AY190" s="15"/>
      <c r="BF190" s="15"/>
      <c r="BM190" s="15"/>
      <c r="BT190" s="15"/>
      <c r="CA190" s="15"/>
      <c r="CH190" s="15"/>
      <c r="CO190" s="15"/>
      <c r="CV190" s="15"/>
    </row>
    <row r="191" spans="35:100" ht="16.5" customHeight="1">
      <c r="AI191" s="15"/>
      <c r="AQ191" s="15"/>
      <c r="AY191" s="15"/>
      <c r="BF191" s="15"/>
      <c r="BM191" s="15"/>
      <c r="BT191" s="15"/>
      <c r="CA191" s="15"/>
      <c r="CH191" s="15"/>
      <c r="CO191" s="15"/>
      <c r="CV191" s="15"/>
    </row>
    <row r="192" spans="35:100" ht="16.5" customHeight="1">
      <c r="AI192" s="15"/>
      <c r="AQ192" s="15"/>
      <c r="AY192" s="15"/>
      <c r="BF192" s="15"/>
      <c r="BM192" s="15"/>
      <c r="BT192" s="15"/>
      <c r="CA192" s="15"/>
      <c r="CH192" s="15"/>
      <c r="CO192" s="15"/>
      <c r="CV192" s="15"/>
    </row>
    <row r="193" spans="35:100" ht="16.5" customHeight="1">
      <c r="AI193" s="15"/>
      <c r="AQ193" s="15"/>
      <c r="AY193" s="15"/>
      <c r="BF193" s="15"/>
      <c r="BM193" s="15"/>
      <c r="BT193" s="15"/>
      <c r="CA193" s="15"/>
      <c r="CH193" s="15"/>
      <c r="CO193" s="15"/>
      <c r="CV193" s="15"/>
    </row>
    <row r="194" spans="35:100" ht="16.5" customHeight="1">
      <c r="AI194" s="15"/>
      <c r="AQ194" s="15"/>
      <c r="AY194" s="15"/>
      <c r="BF194" s="15"/>
      <c r="BM194" s="15"/>
      <c r="BT194" s="15"/>
      <c r="CA194" s="15"/>
      <c r="CH194" s="15"/>
      <c r="CO194" s="15"/>
      <c r="CV194" s="15"/>
    </row>
    <row r="195" spans="35:100" ht="16.5" customHeight="1">
      <c r="AI195" s="15"/>
      <c r="AQ195" s="15"/>
      <c r="AY195" s="15"/>
      <c r="BF195" s="15"/>
      <c r="BM195" s="15"/>
      <c r="BT195" s="15"/>
      <c r="CA195" s="15"/>
      <c r="CH195" s="15"/>
      <c r="CO195" s="15"/>
      <c r="CV195" s="15"/>
    </row>
    <row r="196" spans="35:100" ht="16.5" customHeight="1">
      <c r="AI196" s="15"/>
      <c r="AQ196" s="15"/>
      <c r="AY196" s="15"/>
      <c r="BF196" s="15"/>
      <c r="BM196" s="15"/>
      <c r="BT196" s="15"/>
      <c r="CA196" s="15"/>
      <c r="CH196" s="15"/>
      <c r="CO196" s="15"/>
      <c r="CV196" s="15"/>
    </row>
    <row r="197" spans="35:100" ht="16.5" customHeight="1">
      <c r="AI197" s="15"/>
      <c r="AQ197" s="15"/>
      <c r="AY197" s="15"/>
      <c r="BF197" s="15"/>
      <c r="BM197" s="15"/>
      <c r="BT197" s="15"/>
      <c r="CA197" s="15"/>
      <c r="CH197" s="15"/>
      <c r="CO197" s="15"/>
      <c r="CV197" s="15"/>
    </row>
    <row r="198" spans="35:100" ht="16.5" customHeight="1">
      <c r="AI198" s="15"/>
      <c r="AQ198" s="15"/>
      <c r="AY198" s="15"/>
      <c r="BF198" s="15"/>
      <c r="BM198" s="15"/>
      <c r="BT198" s="15"/>
      <c r="CA198" s="15"/>
      <c r="CH198" s="15"/>
      <c r="CO198" s="15"/>
      <c r="CV198" s="15"/>
    </row>
    <row r="199" spans="35:100" ht="16.5" customHeight="1">
      <c r="AI199" s="15"/>
      <c r="AQ199" s="15"/>
      <c r="AY199" s="15"/>
      <c r="BF199" s="15"/>
      <c r="BM199" s="15"/>
      <c r="BT199" s="15"/>
      <c r="CA199" s="15"/>
      <c r="CH199" s="15"/>
      <c r="CO199" s="15"/>
      <c r="CV199" s="15"/>
    </row>
    <row r="200" spans="35:100" ht="16.5" customHeight="1">
      <c r="AI200" s="15"/>
      <c r="AQ200" s="15"/>
      <c r="AY200" s="15"/>
      <c r="BF200" s="15"/>
      <c r="BM200" s="15"/>
      <c r="BT200" s="15"/>
      <c r="CA200" s="15"/>
      <c r="CH200" s="15"/>
      <c r="CO200" s="15"/>
      <c r="CV200" s="15"/>
    </row>
    <row r="201" spans="35:100" ht="16.5" customHeight="1">
      <c r="AI201" s="15"/>
      <c r="AQ201" s="15"/>
      <c r="AY201" s="15"/>
      <c r="BF201" s="15"/>
      <c r="BM201" s="15"/>
      <c r="BT201" s="15"/>
      <c r="CA201" s="15"/>
      <c r="CH201" s="15"/>
      <c r="CO201" s="15"/>
      <c r="CV201" s="15"/>
    </row>
    <row r="202" spans="35:100" ht="16.5" customHeight="1">
      <c r="AI202" s="15"/>
      <c r="AQ202" s="15"/>
      <c r="AY202" s="15"/>
      <c r="BF202" s="15"/>
      <c r="BM202" s="15"/>
      <c r="BT202" s="15"/>
      <c r="CA202" s="15"/>
      <c r="CH202" s="15"/>
      <c r="CO202" s="15"/>
      <c r="CV202" s="15"/>
    </row>
    <row r="203" spans="35:100" ht="16.5" customHeight="1">
      <c r="AI203" s="15"/>
      <c r="AQ203" s="15"/>
      <c r="AY203" s="15"/>
      <c r="BF203" s="15"/>
      <c r="BM203" s="15"/>
      <c r="BT203" s="15"/>
      <c r="CA203" s="15"/>
      <c r="CH203" s="15"/>
      <c r="CO203" s="15"/>
      <c r="CV203" s="15"/>
    </row>
    <row r="204" spans="35:100" ht="16.5" customHeight="1">
      <c r="AI204" s="15"/>
      <c r="AQ204" s="15"/>
      <c r="AY204" s="15"/>
      <c r="BF204" s="15"/>
      <c r="BM204" s="15"/>
      <c r="BT204" s="15"/>
      <c r="CA204" s="15"/>
      <c r="CH204" s="15"/>
      <c r="CO204" s="15"/>
      <c r="CV204" s="15"/>
    </row>
    <row r="205" spans="35:100" ht="16.5" customHeight="1">
      <c r="AI205" s="15"/>
      <c r="AQ205" s="15"/>
      <c r="AY205" s="15"/>
      <c r="BF205" s="15"/>
      <c r="BM205" s="15"/>
      <c r="BT205" s="15"/>
      <c r="CA205" s="15"/>
      <c r="CH205" s="15"/>
      <c r="CO205" s="15"/>
      <c r="CV205" s="15"/>
    </row>
    <row r="206" spans="35:100" ht="16.5" customHeight="1">
      <c r="AI206" s="15"/>
      <c r="AQ206" s="15"/>
      <c r="AY206" s="15"/>
      <c r="BF206" s="15"/>
      <c r="BM206" s="15"/>
      <c r="BT206" s="15"/>
      <c r="CA206" s="15"/>
      <c r="CH206" s="15"/>
      <c r="CO206" s="15"/>
      <c r="CV206" s="15"/>
    </row>
    <row r="207" spans="35:100" ht="16.5" customHeight="1">
      <c r="AI207" s="15"/>
      <c r="AQ207" s="15"/>
      <c r="AY207" s="15"/>
      <c r="BF207" s="15"/>
      <c r="BM207" s="15"/>
      <c r="BT207" s="15"/>
      <c r="CA207" s="15"/>
      <c r="CH207" s="15"/>
      <c r="CO207" s="15"/>
      <c r="CV207" s="15"/>
    </row>
    <row r="208" spans="35:100" ht="16.5" customHeight="1">
      <c r="AI208" s="15"/>
      <c r="AQ208" s="15"/>
      <c r="AY208" s="15"/>
      <c r="BF208" s="15"/>
      <c r="BM208" s="15"/>
      <c r="BT208" s="15"/>
      <c r="CA208" s="15"/>
      <c r="CH208" s="15"/>
      <c r="CO208" s="15"/>
      <c r="CV208" s="15"/>
    </row>
    <row r="209" spans="35:100" ht="16.5" customHeight="1">
      <c r="AI209" s="15"/>
      <c r="AQ209" s="15"/>
      <c r="AY209" s="15"/>
      <c r="BF209" s="15"/>
      <c r="BM209" s="15"/>
      <c r="BT209" s="15"/>
      <c r="CA209" s="15"/>
      <c r="CH209" s="15"/>
      <c r="CO209" s="15"/>
      <c r="CV209" s="15"/>
    </row>
    <row r="210" spans="35:100" ht="16.5" customHeight="1">
      <c r="AI210" s="15"/>
      <c r="AQ210" s="15"/>
      <c r="AY210" s="15"/>
      <c r="BF210" s="15"/>
      <c r="BM210" s="15"/>
      <c r="BT210" s="15"/>
      <c r="CA210" s="15"/>
      <c r="CH210" s="15"/>
      <c r="CO210" s="15"/>
      <c r="CV210" s="15"/>
    </row>
    <row r="211" spans="35:100" ht="16.5" customHeight="1">
      <c r="AI211" s="15"/>
      <c r="AQ211" s="15"/>
      <c r="AY211" s="15"/>
      <c r="BF211" s="15"/>
      <c r="BM211" s="15"/>
      <c r="BT211" s="15"/>
      <c r="CA211" s="15"/>
      <c r="CH211" s="15"/>
      <c r="CO211" s="15"/>
      <c r="CV211" s="15"/>
    </row>
    <row r="212" spans="35:100" ht="16.5" customHeight="1">
      <c r="AI212" s="15"/>
      <c r="AQ212" s="15"/>
      <c r="AY212" s="15"/>
      <c r="BF212" s="15"/>
      <c r="BM212" s="15"/>
      <c r="BT212" s="15"/>
      <c r="CA212" s="15"/>
      <c r="CH212" s="15"/>
      <c r="CO212" s="15"/>
      <c r="CV212" s="15"/>
    </row>
    <row r="213" spans="35:100" ht="16.5" customHeight="1">
      <c r="AI213" s="15"/>
      <c r="AQ213" s="15"/>
      <c r="AY213" s="15"/>
      <c r="BF213" s="15"/>
      <c r="BM213" s="15"/>
      <c r="BT213" s="15"/>
      <c r="CA213" s="15"/>
      <c r="CH213" s="15"/>
      <c r="CO213" s="15"/>
      <c r="CV213" s="15"/>
    </row>
    <row r="214" spans="35:100" ht="16.5" customHeight="1">
      <c r="AI214" s="15"/>
      <c r="AQ214" s="15"/>
      <c r="AY214" s="15"/>
      <c r="BF214" s="15"/>
      <c r="BM214" s="15"/>
      <c r="BT214" s="15"/>
      <c r="CA214" s="15"/>
      <c r="CH214" s="15"/>
      <c r="CO214" s="15"/>
      <c r="CV214" s="15"/>
    </row>
    <row r="215" spans="35:100" ht="16.5" customHeight="1">
      <c r="AI215" s="15"/>
      <c r="AQ215" s="15"/>
      <c r="AY215" s="15"/>
      <c r="BF215" s="15"/>
      <c r="BM215" s="15"/>
      <c r="BT215" s="15"/>
      <c r="CA215" s="15"/>
      <c r="CH215" s="15"/>
      <c r="CO215" s="15"/>
      <c r="CV215" s="15"/>
    </row>
    <row r="216" spans="35:100" ht="16.5" customHeight="1">
      <c r="AQ216" s="15"/>
      <c r="AY216" s="15"/>
      <c r="BF216" s="15"/>
      <c r="BM216" s="15"/>
      <c r="BT216" s="15"/>
    </row>
    <row r="217" spans="35:100" ht="16.5" customHeight="1">
      <c r="AI217" s="15"/>
      <c r="AQ217" s="15"/>
      <c r="AY217" s="15"/>
      <c r="BF217" s="15"/>
      <c r="BM217" s="15"/>
      <c r="BT217" s="15"/>
      <c r="CA217" s="15"/>
      <c r="CH217" s="15"/>
      <c r="CO217" s="15"/>
      <c r="CV217" s="15"/>
    </row>
    <row r="218" spans="35:100" ht="16.5" customHeight="1">
      <c r="AQ218" s="15"/>
      <c r="AY218" s="15"/>
      <c r="BF218" s="15"/>
      <c r="BM218" s="15"/>
      <c r="BT218" s="15"/>
    </row>
    <row r="219" spans="35:100" ht="16.5" customHeight="1">
      <c r="AI219" s="15"/>
      <c r="AQ219" s="15"/>
      <c r="AY219" s="15"/>
      <c r="BF219" s="15"/>
      <c r="BM219" s="15"/>
      <c r="BT219" s="15"/>
      <c r="CA219" s="15"/>
      <c r="CH219" s="15"/>
      <c r="CO219" s="15"/>
      <c r="CV219" s="15"/>
    </row>
    <row r="220" spans="35:100" ht="16.5" customHeight="1">
      <c r="AQ220" s="15"/>
      <c r="AY220" s="15"/>
      <c r="BF220" s="15"/>
      <c r="BM220" s="15"/>
      <c r="BT220" s="15"/>
    </row>
    <row r="221" spans="35:100" ht="16.5" customHeight="1">
      <c r="AI221" s="15"/>
      <c r="AQ221" s="15"/>
      <c r="AY221" s="15"/>
      <c r="BF221" s="15"/>
      <c r="BM221" s="15"/>
      <c r="BT221" s="15"/>
      <c r="CA221" s="15"/>
      <c r="CH221" s="15"/>
      <c r="CO221" s="15"/>
      <c r="CV221" s="15"/>
    </row>
    <row r="222" spans="35:100" ht="16.5" customHeight="1">
      <c r="AQ222" s="15"/>
      <c r="AY222" s="15"/>
      <c r="BF222" s="15"/>
      <c r="BM222" s="15"/>
      <c r="BT222" s="15"/>
    </row>
    <row r="223" spans="35:100" ht="16.5" customHeight="1">
      <c r="AI223" s="15"/>
      <c r="AQ223" s="15"/>
      <c r="AY223" s="15"/>
      <c r="BF223" s="15"/>
      <c r="BM223" s="15"/>
      <c r="BT223" s="15"/>
      <c r="CA223" s="15"/>
      <c r="CH223" s="15"/>
      <c r="CO223" s="15"/>
      <c r="CV223" s="15"/>
    </row>
    <row r="224" spans="35:100" ht="16.5" customHeight="1">
      <c r="AQ224" s="15"/>
      <c r="AY224" s="15"/>
      <c r="BF224" s="15"/>
      <c r="BM224" s="15"/>
      <c r="BT224" s="15"/>
    </row>
    <row r="225" spans="43:72" ht="16.5" customHeight="1">
      <c r="AQ225" s="15"/>
      <c r="AY225" s="15"/>
      <c r="BF225" s="15"/>
      <c r="BM225" s="15"/>
      <c r="BT225" s="15"/>
    </row>
    <row r="226" spans="43:72" ht="16.5" customHeight="1">
      <c r="AQ226" s="15"/>
      <c r="AY226" s="15"/>
      <c r="BF226" s="15"/>
      <c r="BM226" s="15"/>
      <c r="BT226" s="15"/>
    </row>
    <row r="227" spans="43:72" ht="16.5" customHeight="1">
      <c r="AQ227" s="15"/>
      <c r="AY227" s="15"/>
      <c r="BF227" s="15"/>
      <c r="BM227" s="15"/>
      <c r="BT227" s="15"/>
    </row>
    <row r="228" spans="43:72" ht="16.5" customHeight="1">
      <c r="AQ228" s="15"/>
      <c r="AY228" s="15"/>
      <c r="BF228" s="15"/>
      <c r="BM228" s="15"/>
      <c r="BT228" s="15"/>
    </row>
    <row r="229" spans="43:72" ht="16.5" customHeight="1">
      <c r="AQ229" s="15"/>
      <c r="AY229" s="15"/>
      <c r="BF229" s="15"/>
      <c r="BM229" s="15"/>
      <c r="BT229" s="15"/>
    </row>
    <row r="230" spans="43:72" ht="16.5" customHeight="1">
      <c r="AQ230" s="15"/>
      <c r="AY230" s="15"/>
      <c r="BF230" s="15"/>
      <c r="BM230" s="15"/>
      <c r="BT230" s="15"/>
    </row>
    <row r="231" spans="43:72" ht="16.5" customHeight="1">
      <c r="AQ231" s="15"/>
      <c r="AY231" s="15"/>
      <c r="BF231" s="15"/>
      <c r="BM231" s="15"/>
      <c r="BT231" s="15"/>
    </row>
    <row r="232" spans="43:72" ht="16.5" customHeight="1">
      <c r="AQ232" s="15"/>
      <c r="AY232" s="15"/>
      <c r="BF232" s="15"/>
      <c r="BM232" s="15"/>
      <c r="BT232" s="15"/>
    </row>
    <row r="233" spans="43:72" ht="16.5" customHeight="1">
      <c r="AQ233" s="15"/>
      <c r="AY233" s="15"/>
      <c r="BF233" s="15"/>
      <c r="BM233" s="15"/>
      <c r="BT233" s="15"/>
    </row>
    <row r="234" spans="43:72" ht="16.5" customHeight="1">
      <c r="AQ234" s="15"/>
      <c r="AY234" s="15"/>
      <c r="BF234" s="15"/>
      <c r="BM234" s="15"/>
      <c r="BT234" s="15"/>
    </row>
    <row r="235" spans="43:72" ht="16.5" customHeight="1">
      <c r="AQ235" s="15"/>
      <c r="AY235" s="15"/>
      <c r="BF235" s="15"/>
      <c r="BM235" s="15"/>
      <c r="BT235" s="15"/>
    </row>
    <row r="236" spans="43:72" ht="16.5" customHeight="1">
      <c r="AQ236" s="15"/>
      <c r="AY236" s="15"/>
      <c r="BF236" s="15"/>
      <c r="BM236" s="15"/>
      <c r="BT236" s="15"/>
    </row>
    <row r="237" spans="43:72" ht="16.5" customHeight="1">
      <c r="AQ237" s="15"/>
      <c r="AY237" s="15"/>
      <c r="BF237" s="15"/>
      <c r="BM237" s="15"/>
      <c r="BT237" s="15"/>
    </row>
    <row r="238" spans="43:72" ht="16.5" customHeight="1">
      <c r="AQ238" s="15"/>
      <c r="AY238" s="15"/>
      <c r="BF238" s="15"/>
      <c r="BM238" s="15"/>
      <c r="BT238" s="15"/>
    </row>
    <row r="239" spans="43:72" ht="16.5" customHeight="1">
      <c r="AQ239" s="15"/>
      <c r="AY239" s="15"/>
      <c r="BF239" s="15"/>
      <c r="BM239" s="15"/>
      <c r="BT239" s="15"/>
    </row>
    <row r="240" spans="43:72" ht="16.5" customHeight="1">
      <c r="AQ240" s="15"/>
      <c r="AY240" s="15"/>
      <c r="BF240" s="15"/>
      <c r="BM240" s="15"/>
      <c r="BT240" s="15"/>
    </row>
    <row r="241" spans="43:72" ht="16.5" customHeight="1">
      <c r="AQ241" s="15"/>
      <c r="AY241" s="15"/>
      <c r="BF241" s="15"/>
      <c r="BM241" s="15"/>
      <c r="BT241" s="15"/>
    </row>
    <row r="242" spans="43:72" ht="16.5" customHeight="1">
      <c r="AQ242" s="15"/>
      <c r="AY242" s="15"/>
      <c r="BF242" s="15"/>
      <c r="BM242" s="15"/>
      <c r="BT242" s="15"/>
    </row>
    <row r="243" spans="43:72" ht="16.5" customHeight="1">
      <c r="AQ243" s="15"/>
      <c r="AY243" s="15"/>
      <c r="BF243" s="15"/>
      <c r="BM243" s="15"/>
      <c r="BT243" s="15"/>
    </row>
    <row r="244" spans="43:72" ht="16.5" customHeight="1">
      <c r="AQ244" s="15"/>
      <c r="AY244" s="15"/>
      <c r="BF244" s="15"/>
      <c r="BM244" s="15"/>
      <c r="BT244" s="15"/>
    </row>
    <row r="245" spans="43:72" ht="16.5" customHeight="1">
      <c r="AQ245" s="15"/>
      <c r="AY245" s="15"/>
      <c r="BF245" s="15"/>
      <c r="BM245" s="15"/>
      <c r="BT245" s="15"/>
    </row>
    <row r="246" spans="43:72" ht="16.5" customHeight="1">
      <c r="AQ246" s="15"/>
      <c r="AY246" s="15"/>
      <c r="BF246" s="15"/>
      <c r="BM246" s="15"/>
      <c r="BT246" s="15"/>
    </row>
    <row r="247" spans="43:72" ht="16.5" customHeight="1">
      <c r="AQ247" s="15"/>
      <c r="AY247" s="15"/>
      <c r="BF247" s="15"/>
      <c r="BM247" s="15"/>
      <c r="BT247" s="15"/>
    </row>
    <row r="248" spans="43:72" ht="16.5" customHeight="1">
      <c r="AQ248" s="15"/>
      <c r="AY248" s="15"/>
      <c r="BF248" s="15"/>
      <c r="BM248" s="15"/>
      <c r="BT248" s="15"/>
    </row>
    <row r="249" spans="43:72" ht="16.5" customHeight="1">
      <c r="AQ249" s="15"/>
      <c r="AY249" s="15"/>
      <c r="BF249" s="15"/>
      <c r="BM249" s="15"/>
      <c r="BT249" s="15"/>
    </row>
    <row r="250" spans="43:72" ht="16.5" customHeight="1">
      <c r="AQ250" s="15"/>
      <c r="AY250" s="15"/>
      <c r="BF250" s="15"/>
      <c r="BM250" s="15"/>
      <c r="BT250" s="15"/>
    </row>
    <row r="251" spans="43:72" ht="16.5" customHeight="1">
      <c r="AQ251" s="15"/>
      <c r="AY251" s="15"/>
      <c r="BF251" s="15"/>
      <c r="BM251" s="15"/>
      <c r="BT251" s="15"/>
    </row>
    <row r="252" spans="43:72" ht="16.5" customHeight="1">
      <c r="AQ252" s="15"/>
      <c r="AY252" s="15"/>
      <c r="BF252" s="15"/>
      <c r="BM252" s="15"/>
      <c r="BT252" s="15"/>
    </row>
    <row r="253" spans="43:72" ht="16.5" customHeight="1">
      <c r="AQ253" s="15"/>
      <c r="AY253" s="15"/>
      <c r="BF253" s="15"/>
      <c r="BM253" s="15"/>
      <c r="BT253" s="15"/>
    </row>
    <row r="254" spans="43:72" ht="16.5" customHeight="1">
      <c r="AQ254" s="15"/>
      <c r="AY254" s="15"/>
      <c r="BF254" s="15"/>
      <c r="BM254" s="15"/>
      <c r="BT254" s="15"/>
    </row>
    <row r="255" spans="43:72" ht="16.5" customHeight="1">
      <c r="AQ255" s="15"/>
      <c r="AY255" s="15"/>
      <c r="BF255" s="15"/>
      <c r="BM255" s="15"/>
      <c r="BT255" s="15"/>
    </row>
    <row r="256" spans="43:72" ht="16.5" customHeight="1">
      <c r="AQ256" s="15"/>
      <c r="AY256" s="15"/>
      <c r="BF256" s="15"/>
      <c r="BM256" s="15"/>
      <c r="BT256" s="15"/>
    </row>
    <row r="257" spans="43:72" ht="16.5" customHeight="1">
      <c r="AQ257" s="15"/>
      <c r="AY257" s="15"/>
      <c r="BF257" s="15"/>
      <c r="BM257" s="15"/>
      <c r="BT257" s="15"/>
    </row>
    <row r="258" spans="43:72" ht="16.5" customHeight="1">
      <c r="AQ258" s="15"/>
      <c r="AY258" s="15"/>
      <c r="BF258" s="15"/>
      <c r="BM258" s="15"/>
      <c r="BT258" s="15"/>
    </row>
    <row r="259" spans="43:72" ht="16.5" customHeight="1">
      <c r="AQ259" s="15"/>
      <c r="AY259" s="15"/>
      <c r="BF259" s="15"/>
      <c r="BM259" s="15"/>
      <c r="BT259" s="15"/>
    </row>
    <row r="260" spans="43:72" ht="16.5" customHeight="1">
      <c r="AQ260" s="15"/>
      <c r="AY260" s="15"/>
      <c r="BF260" s="15"/>
      <c r="BM260" s="15"/>
      <c r="BT260" s="15"/>
    </row>
    <row r="261" spans="43:72" ht="16.5" customHeight="1">
      <c r="AQ261" s="15"/>
      <c r="AY261" s="15"/>
      <c r="BF261" s="15"/>
      <c r="BM261" s="15"/>
      <c r="BT261" s="15"/>
    </row>
    <row r="262" spans="43:72" ht="16.5" customHeight="1">
      <c r="AQ262" s="15"/>
      <c r="AY262" s="15"/>
      <c r="BF262" s="15"/>
      <c r="BM262" s="15"/>
      <c r="BT262" s="15"/>
    </row>
    <row r="263" spans="43:72" ht="16.5" customHeight="1">
      <c r="AQ263" s="15"/>
      <c r="AY263" s="15"/>
      <c r="BF263" s="15"/>
      <c r="BM263" s="15"/>
      <c r="BT263" s="15"/>
    </row>
    <row r="264" spans="43:72" ht="16.5" customHeight="1">
      <c r="AQ264" s="15"/>
      <c r="AY264" s="15"/>
      <c r="BF264" s="15"/>
      <c r="BM264" s="15"/>
      <c r="BT264" s="15"/>
    </row>
    <row r="265" spans="43:72" ht="16.5" customHeight="1">
      <c r="AQ265" s="15"/>
      <c r="AY265" s="15"/>
      <c r="BF265" s="15"/>
      <c r="BM265" s="15"/>
      <c r="BT265" s="15"/>
    </row>
    <row r="266" spans="43:72" ht="16.5" customHeight="1">
      <c r="AQ266" s="15"/>
      <c r="AY266" s="15"/>
      <c r="BF266" s="15"/>
      <c r="BM266" s="15"/>
      <c r="BT266" s="15"/>
    </row>
    <row r="267" spans="43:72" ht="16.5" customHeight="1">
      <c r="AQ267" s="15"/>
      <c r="AY267" s="15"/>
      <c r="BF267" s="15"/>
      <c r="BM267" s="15"/>
      <c r="BT267" s="15"/>
    </row>
    <row r="268" spans="43:72" ht="16.5" customHeight="1">
      <c r="AQ268" s="15"/>
      <c r="AY268" s="15"/>
      <c r="BF268" s="15"/>
      <c r="BM268" s="15"/>
      <c r="BT268" s="15"/>
    </row>
    <row r="269" spans="43:72" ht="16.5" customHeight="1">
      <c r="AQ269" s="15"/>
      <c r="AY269" s="15"/>
      <c r="BF269" s="15"/>
      <c r="BM269" s="15"/>
      <c r="BT269" s="15"/>
    </row>
    <row r="270" spans="43:72" ht="16.5" customHeight="1">
      <c r="AQ270" s="15"/>
      <c r="AY270" s="15"/>
      <c r="BF270" s="15"/>
      <c r="BM270" s="15"/>
      <c r="BT270" s="15"/>
    </row>
    <row r="271" spans="43:72" ht="16.5" customHeight="1">
      <c r="AQ271" s="15"/>
      <c r="AY271" s="15"/>
      <c r="BF271" s="15"/>
      <c r="BM271" s="15"/>
      <c r="BT271" s="15"/>
    </row>
    <row r="272" spans="43:72" ht="16.5" customHeight="1">
      <c r="AQ272" s="15"/>
      <c r="AY272" s="15"/>
      <c r="BF272" s="15"/>
      <c r="BM272" s="15"/>
      <c r="BT272" s="15"/>
    </row>
    <row r="273" spans="43:72" ht="16.5" customHeight="1">
      <c r="AQ273" s="15"/>
      <c r="AY273" s="15"/>
      <c r="BF273" s="15"/>
      <c r="BM273" s="15"/>
      <c r="BT273" s="15"/>
    </row>
    <row r="274" spans="43:72" ht="16.5" customHeight="1">
      <c r="AQ274" s="15"/>
      <c r="AY274" s="15"/>
      <c r="BF274" s="15"/>
      <c r="BM274" s="15"/>
      <c r="BT274" s="15"/>
    </row>
    <row r="275" spans="43:72" ht="16.5" customHeight="1">
      <c r="AQ275" s="15"/>
      <c r="AY275" s="15"/>
      <c r="BF275" s="15"/>
      <c r="BM275" s="15"/>
      <c r="BT275" s="15"/>
    </row>
    <row r="276" spans="43:72" ht="16.5" customHeight="1">
      <c r="AQ276" s="15"/>
      <c r="AY276" s="15"/>
      <c r="BF276" s="15"/>
      <c r="BM276" s="15"/>
      <c r="BT276" s="15"/>
    </row>
    <row r="277" spans="43:72" ht="16.5" customHeight="1">
      <c r="AQ277" s="15"/>
      <c r="AY277" s="15"/>
      <c r="BF277" s="15"/>
      <c r="BM277" s="15"/>
      <c r="BT277" s="15"/>
    </row>
    <row r="278" spans="43:72" ht="16.5" customHeight="1">
      <c r="AQ278" s="15"/>
      <c r="AY278" s="15"/>
      <c r="BF278" s="15"/>
      <c r="BM278" s="15"/>
      <c r="BT278" s="15"/>
    </row>
    <row r="279" spans="43:72" ht="16.5" customHeight="1">
      <c r="AQ279" s="15"/>
      <c r="AY279" s="15"/>
      <c r="BF279" s="15"/>
      <c r="BM279" s="15"/>
      <c r="BT279" s="15"/>
    </row>
    <row r="280" spans="43:72" ht="16.5" customHeight="1">
      <c r="AQ280" s="15"/>
      <c r="AY280" s="15"/>
      <c r="BF280" s="15"/>
      <c r="BM280" s="15"/>
      <c r="BT280" s="15"/>
    </row>
    <row r="281" spans="43:72" ht="16.5" customHeight="1">
      <c r="AQ281" s="15"/>
      <c r="AY281" s="15"/>
      <c r="BF281" s="15"/>
      <c r="BM281" s="15"/>
      <c r="BT281" s="15"/>
    </row>
    <row r="282" spans="43:72" ht="16.5" customHeight="1">
      <c r="AQ282" s="15"/>
      <c r="AY282" s="15"/>
      <c r="BF282" s="15"/>
      <c r="BM282" s="15"/>
      <c r="BT282" s="15"/>
    </row>
    <row r="283" spans="43:72" ht="16.5" customHeight="1">
      <c r="AQ283" s="15"/>
      <c r="AY283" s="15"/>
      <c r="BF283" s="15"/>
      <c r="BM283" s="15"/>
      <c r="BT283" s="15"/>
    </row>
    <row r="284" spans="43:72" ht="16.5" customHeight="1">
      <c r="AQ284" s="15"/>
      <c r="AY284" s="15"/>
      <c r="BF284" s="15"/>
      <c r="BM284" s="15"/>
      <c r="BT284" s="15"/>
    </row>
    <row r="285" spans="43:72" ht="16.5" customHeight="1">
      <c r="AQ285" s="15"/>
      <c r="AY285" s="15"/>
      <c r="BF285" s="15"/>
      <c r="BM285" s="15"/>
      <c r="BT285" s="15"/>
    </row>
    <row r="286" spans="43:72" ht="16.5" customHeight="1">
      <c r="AQ286" s="15"/>
      <c r="AY286" s="15"/>
      <c r="BF286" s="15"/>
      <c r="BM286" s="15"/>
      <c r="BT286" s="15"/>
    </row>
    <row r="287" spans="43:72" ht="16.5" customHeight="1">
      <c r="AQ287" s="15"/>
      <c r="AY287" s="15"/>
      <c r="BF287" s="15"/>
      <c r="BM287" s="15"/>
      <c r="BT287" s="15"/>
    </row>
    <row r="289" spans="43:72" ht="16.5" customHeight="1">
      <c r="AQ289" s="15"/>
      <c r="AY289" s="15"/>
      <c r="BF289" s="15"/>
      <c r="BM289" s="15"/>
      <c r="BT289" s="15"/>
    </row>
    <row r="291" spans="43:72" ht="16.5" customHeight="1">
      <c r="AQ291" s="15"/>
      <c r="AY291" s="15"/>
      <c r="BF291" s="15"/>
      <c r="BM291" s="15"/>
      <c r="BT291" s="15"/>
    </row>
    <row r="293" spans="43:72" ht="16.5" customHeight="1">
      <c r="AQ293" s="15"/>
      <c r="AY293" s="15"/>
      <c r="BF293" s="15"/>
      <c r="BM293" s="15"/>
      <c r="BT293" s="15"/>
    </row>
    <row r="295" spans="43:72" ht="16.5" customHeight="1">
      <c r="AQ295" s="15"/>
      <c r="AY295" s="15"/>
      <c r="BF295" s="15"/>
      <c r="BM295" s="15"/>
      <c r="BT295" s="15"/>
    </row>
  </sheetData>
  <phoneticPr fontId="1"/>
  <conditionalFormatting sqref="AR10:AT10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0:AL33">
    <cfRule type="cellIs" dxfId="0" priority="1" operator="notEqual">
      <formula>1</formula>
    </cfRule>
  </conditionalFormatting>
  <dataValidations count="2">
    <dataValidation type="list" allowBlank="1" showInputMessage="1" showErrorMessage="1" sqref="AB9" xr:uid="{CE30FE11-F6AB-4C99-B7E5-58A69CE547B4}">
      <formula1>$D$9:$D$24</formula1>
    </dataValidation>
    <dataValidation type="list" allowBlank="1" showInputMessage="1" showErrorMessage="1" sqref="AB10" xr:uid="{75FAD61D-83C1-4CBE-BC65-1063464ED2FD}">
      <formula1>"1,2,3,4"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288"/>
  <sheetViews>
    <sheetView workbookViewId="0">
      <selection activeCell="K12" sqref="K12"/>
    </sheetView>
  </sheetViews>
  <sheetFormatPr defaultColWidth="2.75" defaultRowHeight="16.5" customHeight="1"/>
  <cols>
    <col min="1" max="1" width="11.625" style="10" bestFit="1" customWidth="1"/>
    <col min="2" max="13" width="7.5" style="10" customWidth="1"/>
    <col min="14" max="16384" width="2.75" style="10"/>
  </cols>
  <sheetData>
    <row r="1" spans="1:4" ht="16.5" customHeight="1">
      <c r="B1" s="10" t="s">
        <v>0</v>
      </c>
      <c r="C1" s="10" t="s">
        <v>2</v>
      </c>
      <c r="D1" s="10" t="s">
        <v>4</v>
      </c>
    </row>
    <row r="2" spans="1:4" ht="16.5" customHeight="1">
      <c r="B2" s="10" t="s">
        <v>77</v>
      </c>
      <c r="C2" s="10" t="s">
        <v>77</v>
      </c>
      <c r="D2" s="10" t="s">
        <v>77</v>
      </c>
    </row>
    <row r="3" spans="1:4" ht="16.5" customHeight="1">
      <c r="A3" s="22" t="s">
        <v>109</v>
      </c>
      <c r="B3" s="10">
        <v>0</v>
      </c>
      <c r="C3" s="10">
        <v>0</v>
      </c>
      <c r="D3" s="10">
        <v>0</v>
      </c>
    </row>
    <row r="4" spans="1:4" ht="16.5" customHeight="1">
      <c r="A4" s="22" t="s">
        <v>111</v>
      </c>
      <c r="B4" s="10">
        <v>0</v>
      </c>
      <c r="C4" s="10">
        <v>0</v>
      </c>
      <c r="D4" s="10">
        <v>0</v>
      </c>
    </row>
    <row r="5" spans="1:4" ht="16.5" customHeight="1">
      <c r="A5" s="22" t="s">
        <v>113</v>
      </c>
      <c r="B5" s="10">
        <v>0</v>
      </c>
      <c r="C5" s="10">
        <v>0</v>
      </c>
      <c r="D5" s="10">
        <v>0</v>
      </c>
    </row>
    <row r="6" spans="1:4" ht="16.5" customHeight="1">
      <c r="A6" s="22" t="s">
        <v>115</v>
      </c>
      <c r="B6" s="10">
        <v>0</v>
      </c>
      <c r="C6" s="10">
        <v>0</v>
      </c>
      <c r="D6" s="10">
        <v>0</v>
      </c>
    </row>
    <row r="7" spans="1:4" ht="16.5" customHeight="1">
      <c r="A7" s="22" t="s">
        <v>117</v>
      </c>
      <c r="B7" s="10">
        <v>0</v>
      </c>
      <c r="C7" s="10">
        <v>0</v>
      </c>
      <c r="D7" s="10">
        <v>0</v>
      </c>
    </row>
    <row r="8" spans="1:4" ht="16.5" customHeight="1">
      <c r="A8" s="22" t="s">
        <v>119</v>
      </c>
      <c r="B8" s="10">
        <v>0</v>
      </c>
      <c r="C8" s="10">
        <v>0</v>
      </c>
      <c r="D8" s="10">
        <v>0</v>
      </c>
    </row>
    <row r="9" spans="1:4" ht="16.5" customHeight="1">
      <c r="A9" s="22" t="s">
        <v>121</v>
      </c>
      <c r="B9" s="10">
        <v>0</v>
      </c>
      <c r="C9" s="10">
        <v>0</v>
      </c>
      <c r="D9" s="10">
        <v>0</v>
      </c>
    </row>
    <row r="10" spans="1:4" ht="16.5" customHeight="1">
      <c r="A10" s="22" t="s">
        <v>123</v>
      </c>
      <c r="B10" s="10">
        <v>0</v>
      </c>
      <c r="C10" s="10">
        <v>0</v>
      </c>
      <c r="D10" s="10">
        <v>0</v>
      </c>
    </row>
    <row r="11" spans="1:4" ht="16.5" customHeight="1">
      <c r="A11" s="22" t="s">
        <v>125</v>
      </c>
      <c r="B11" s="10">
        <v>0</v>
      </c>
      <c r="C11" s="10">
        <v>0</v>
      </c>
      <c r="D11" s="10">
        <v>0</v>
      </c>
    </row>
    <row r="12" spans="1:4" ht="16.5" customHeight="1">
      <c r="A12" s="22" t="s">
        <v>152</v>
      </c>
      <c r="B12" s="10">
        <v>0.25</v>
      </c>
      <c r="C12" s="10">
        <v>0</v>
      </c>
      <c r="D12" s="10">
        <v>0</v>
      </c>
    </row>
    <row r="13" spans="1:4" ht="16.5" customHeight="1">
      <c r="A13" s="22" t="s">
        <v>6</v>
      </c>
      <c r="B13" s="10">
        <v>0</v>
      </c>
      <c r="C13" s="10">
        <v>0</v>
      </c>
      <c r="D13" s="10">
        <v>0</v>
      </c>
    </row>
    <row r="14" spans="1:4" ht="16.5" customHeight="1">
      <c r="A14" s="22" t="s">
        <v>7</v>
      </c>
      <c r="B14" s="10">
        <v>0</v>
      </c>
      <c r="C14" s="10">
        <v>0</v>
      </c>
      <c r="D14" s="10">
        <v>0</v>
      </c>
    </row>
    <row r="15" spans="1:4" ht="16.5" customHeight="1">
      <c r="A15" s="22" t="s">
        <v>8</v>
      </c>
      <c r="B15" s="10">
        <v>0</v>
      </c>
      <c r="C15" s="10">
        <v>0</v>
      </c>
      <c r="D15" s="10">
        <v>0</v>
      </c>
    </row>
    <row r="16" spans="1:4" ht="16.5" customHeight="1">
      <c r="A16" s="22" t="s">
        <v>9</v>
      </c>
      <c r="B16" s="10">
        <v>0</v>
      </c>
      <c r="C16" s="10">
        <v>0</v>
      </c>
      <c r="D16" s="10">
        <v>0</v>
      </c>
    </row>
    <row r="17" spans="1:4" ht="16.5" customHeight="1">
      <c r="A17" s="22" t="s">
        <v>10</v>
      </c>
      <c r="B17" s="10">
        <v>0</v>
      </c>
      <c r="C17" s="10">
        <v>0</v>
      </c>
      <c r="D17" s="10">
        <v>0</v>
      </c>
    </row>
    <row r="18" spans="1:4" ht="16.5" customHeight="1">
      <c r="A18" s="22" t="s">
        <v>11</v>
      </c>
      <c r="B18" s="10">
        <v>0</v>
      </c>
      <c r="C18" s="10">
        <v>0</v>
      </c>
      <c r="D18" s="10">
        <v>0</v>
      </c>
    </row>
    <row r="19" spans="1:4" ht="16.5" customHeight="1">
      <c r="A19" s="22" t="s">
        <v>12</v>
      </c>
      <c r="B19" s="10">
        <v>0</v>
      </c>
      <c r="C19" s="10">
        <v>0.25</v>
      </c>
      <c r="D19" s="10">
        <v>0</v>
      </c>
    </row>
    <row r="20" spans="1:4" ht="16.5" customHeight="1">
      <c r="A20" s="22" t="s">
        <v>13</v>
      </c>
      <c r="B20" s="10">
        <v>0</v>
      </c>
      <c r="C20" s="10">
        <v>0</v>
      </c>
      <c r="D20" s="10">
        <v>0</v>
      </c>
    </row>
    <row r="21" spans="1:4" ht="16.5" customHeight="1">
      <c r="A21" s="22" t="s">
        <v>14</v>
      </c>
      <c r="B21" s="10">
        <v>0</v>
      </c>
      <c r="C21" s="10">
        <v>0</v>
      </c>
      <c r="D21" s="10">
        <v>0</v>
      </c>
    </row>
    <row r="22" spans="1:4" ht="16.5" customHeight="1">
      <c r="A22" s="22" t="s">
        <v>15</v>
      </c>
      <c r="B22" s="10">
        <v>0</v>
      </c>
      <c r="C22" s="10">
        <v>0</v>
      </c>
      <c r="D22" s="10">
        <v>0</v>
      </c>
    </row>
    <row r="23" spans="1:4" ht="16.5" customHeight="1">
      <c r="A23" s="22" t="s">
        <v>16</v>
      </c>
      <c r="B23" s="10">
        <v>0</v>
      </c>
      <c r="C23" s="10">
        <v>0</v>
      </c>
      <c r="D23" s="10">
        <v>0</v>
      </c>
    </row>
    <row r="24" spans="1:4" ht="16.5" customHeight="1">
      <c r="A24" s="22" t="s">
        <v>17</v>
      </c>
      <c r="B24" s="10">
        <v>0</v>
      </c>
      <c r="C24" s="10">
        <v>0</v>
      </c>
      <c r="D24" s="10">
        <v>0</v>
      </c>
    </row>
    <row r="25" spans="1:4" ht="16.5" customHeight="1">
      <c r="A25" s="22" t="s">
        <v>18</v>
      </c>
      <c r="B25" s="10">
        <v>0</v>
      </c>
      <c r="C25" s="10">
        <v>0</v>
      </c>
      <c r="D25" s="10">
        <v>0</v>
      </c>
    </row>
    <row r="26" spans="1:4" ht="16.5" customHeight="1">
      <c r="A26" s="22" t="s">
        <v>128</v>
      </c>
      <c r="B26" s="10">
        <v>0</v>
      </c>
      <c r="C26" s="10">
        <v>0</v>
      </c>
      <c r="D26" s="10">
        <v>0</v>
      </c>
    </row>
    <row r="28" spans="1:4" ht="16.5" customHeight="1">
      <c r="A28" s="15"/>
    </row>
    <row r="30" spans="1:4" ht="16.5" customHeight="1">
      <c r="A30" s="15"/>
    </row>
    <row r="32" spans="1:4" ht="16.5" customHeight="1">
      <c r="A32" s="15"/>
    </row>
    <row r="34" spans="1:1" ht="16.5" customHeight="1">
      <c r="A34" s="15"/>
    </row>
    <row r="36" spans="1:1" ht="16.5" customHeight="1">
      <c r="A36" s="15"/>
    </row>
    <row r="38" spans="1:1" ht="16.5" customHeight="1">
      <c r="A38" s="15"/>
    </row>
    <row r="40" spans="1:1" ht="16.5" customHeight="1">
      <c r="A40" s="15"/>
    </row>
    <row r="42" spans="1:1" ht="16.5" customHeight="1">
      <c r="A42" s="15"/>
    </row>
    <row r="44" spans="1:1" ht="16.5" customHeight="1">
      <c r="A44" s="15"/>
    </row>
    <row r="46" spans="1:1" ht="16.5" customHeight="1">
      <c r="A46" s="15"/>
    </row>
    <row r="48" spans="1:1" ht="16.5" customHeight="1">
      <c r="A48" s="15"/>
    </row>
    <row r="50" spans="1:1" ht="16.5" customHeight="1">
      <c r="A50" s="15"/>
    </row>
    <row r="52" spans="1:1" ht="16.5" customHeight="1">
      <c r="A52" s="15"/>
    </row>
    <row r="54" spans="1:1" ht="16.5" customHeight="1">
      <c r="A54" s="15"/>
    </row>
    <row r="56" spans="1:1" ht="16.5" customHeight="1">
      <c r="A56" s="15"/>
    </row>
    <row r="58" spans="1:1" ht="16.5" customHeight="1">
      <c r="A58" s="15"/>
    </row>
    <row r="60" spans="1:1" ht="16.5" customHeight="1">
      <c r="A60" s="15"/>
    </row>
    <row r="62" spans="1:1" ht="16.5" customHeight="1">
      <c r="A62" s="15"/>
    </row>
    <row r="64" spans="1:1" ht="16.5" customHeight="1">
      <c r="A64" s="15"/>
    </row>
    <row r="66" spans="1:1" ht="16.5" customHeight="1">
      <c r="A66" s="15"/>
    </row>
    <row r="68" spans="1:1" ht="16.5" customHeight="1">
      <c r="A68" s="15"/>
    </row>
    <row r="70" spans="1:1" ht="16.5" customHeight="1">
      <c r="A70" s="15"/>
    </row>
    <row r="72" spans="1:1" ht="16.5" customHeight="1">
      <c r="A72" s="15"/>
    </row>
    <row r="74" spans="1:1" ht="16.5" customHeight="1">
      <c r="A74" s="15"/>
    </row>
    <row r="76" spans="1:1" ht="16.5" customHeight="1">
      <c r="A76" s="15"/>
    </row>
    <row r="78" spans="1:1" ht="16.5" customHeight="1">
      <c r="A78" s="15"/>
    </row>
    <row r="80" spans="1:1" ht="16.5" customHeight="1">
      <c r="A80" s="15"/>
    </row>
    <row r="82" spans="1:1" ht="16.5" customHeight="1">
      <c r="A82" s="15"/>
    </row>
    <row r="84" spans="1:1" ht="16.5" customHeight="1">
      <c r="A84" s="15"/>
    </row>
    <row r="86" spans="1:1" ht="16.5" customHeight="1">
      <c r="A86" s="15"/>
    </row>
    <row r="88" spans="1:1" ht="16.5" customHeight="1">
      <c r="A88" s="15"/>
    </row>
    <row r="90" spans="1:1" ht="16.5" customHeight="1">
      <c r="A90" s="15"/>
    </row>
    <row r="92" spans="1:1" ht="16.5" customHeight="1">
      <c r="A92" s="15"/>
    </row>
    <row r="94" spans="1:1" ht="16.5" customHeight="1">
      <c r="A94" s="15"/>
    </row>
    <row r="96" spans="1:1" ht="16.5" customHeight="1">
      <c r="A96" s="15"/>
    </row>
    <row r="98" spans="1:1" ht="16.5" customHeight="1">
      <c r="A98" s="15"/>
    </row>
    <row r="100" spans="1:1" ht="16.5" customHeight="1">
      <c r="A100" s="15"/>
    </row>
    <row r="102" spans="1:1" ht="16.5" customHeight="1">
      <c r="A102" s="15"/>
    </row>
    <row r="104" spans="1:1" ht="16.5" customHeight="1">
      <c r="A104" s="15"/>
    </row>
    <row r="106" spans="1:1" ht="16.5" customHeight="1">
      <c r="A106" s="15"/>
    </row>
    <row r="108" spans="1:1" ht="16.5" customHeight="1">
      <c r="A108" s="15"/>
    </row>
    <row r="110" spans="1:1" ht="16.5" customHeight="1">
      <c r="A110" s="15"/>
    </row>
    <row r="112" spans="1:1" ht="16.5" customHeight="1">
      <c r="A112" s="15"/>
    </row>
    <row r="114" spans="1:1" ht="16.5" customHeight="1">
      <c r="A114" s="15"/>
    </row>
    <row r="116" spans="1:1" ht="16.5" customHeight="1">
      <c r="A116" s="15"/>
    </row>
    <row r="118" spans="1:1" ht="16.5" customHeight="1">
      <c r="A118" s="15"/>
    </row>
    <row r="120" spans="1:1" ht="16.5" customHeight="1">
      <c r="A120" s="15"/>
    </row>
    <row r="122" spans="1:1" ht="16.5" customHeight="1">
      <c r="A122" s="15"/>
    </row>
    <row r="124" spans="1:1" ht="16.5" customHeight="1">
      <c r="A124" s="15"/>
    </row>
    <row r="126" spans="1:1" ht="16.5" customHeight="1">
      <c r="A126" s="15"/>
    </row>
    <row r="128" spans="1:1" ht="16.5" customHeight="1">
      <c r="A128" s="15"/>
    </row>
    <row r="130" spans="1:1" ht="16.5" customHeight="1">
      <c r="A130" s="15"/>
    </row>
    <row r="132" spans="1:1" ht="16.5" customHeight="1">
      <c r="A132" s="15"/>
    </row>
    <row r="134" spans="1:1" ht="16.5" customHeight="1">
      <c r="A134" s="15"/>
    </row>
    <row r="136" spans="1:1" ht="16.5" customHeight="1">
      <c r="A136" s="15"/>
    </row>
    <row r="138" spans="1:1" ht="16.5" customHeight="1">
      <c r="A138" s="15"/>
    </row>
    <row r="140" spans="1:1" ht="16.5" customHeight="1">
      <c r="A140" s="15"/>
    </row>
    <row r="142" spans="1:1" ht="16.5" customHeight="1">
      <c r="A142" s="15"/>
    </row>
    <row r="144" spans="1:1" ht="16.5" customHeight="1">
      <c r="A144" s="15"/>
    </row>
    <row r="146" spans="1:1" ht="16.5" customHeight="1">
      <c r="A146" s="15"/>
    </row>
    <row r="148" spans="1:1" ht="16.5" customHeight="1">
      <c r="A148" s="15"/>
    </row>
    <row r="150" spans="1:1" ht="16.5" customHeight="1">
      <c r="A150" s="15"/>
    </row>
    <row r="152" spans="1:1" ht="16.5" customHeight="1">
      <c r="A152" s="15"/>
    </row>
    <row r="154" spans="1:1" ht="16.5" customHeight="1">
      <c r="A154" s="15"/>
    </row>
    <row r="156" spans="1:1" ht="16.5" customHeight="1">
      <c r="A156" s="15"/>
    </row>
    <row r="158" spans="1:1" ht="16.5" customHeight="1">
      <c r="A158" s="15"/>
    </row>
    <row r="160" spans="1:1" ht="16.5" customHeight="1">
      <c r="A160" s="15"/>
    </row>
    <row r="162" spans="1:1" ht="16.5" customHeight="1">
      <c r="A162" s="15"/>
    </row>
    <row r="164" spans="1:1" ht="16.5" customHeight="1">
      <c r="A164" s="15"/>
    </row>
    <row r="166" spans="1:1" ht="16.5" customHeight="1">
      <c r="A166" s="15"/>
    </row>
    <row r="168" spans="1:1" ht="16.5" customHeight="1">
      <c r="A168" s="15"/>
    </row>
    <row r="170" spans="1:1" ht="16.5" customHeight="1">
      <c r="A170" s="15"/>
    </row>
    <row r="172" spans="1:1" ht="16.5" customHeight="1">
      <c r="A172" s="15"/>
    </row>
    <row r="174" spans="1:1" ht="16.5" customHeight="1">
      <c r="A174" s="15"/>
    </row>
    <row r="176" spans="1:1" ht="16.5" customHeight="1">
      <c r="A176" s="15"/>
    </row>
    <row r="178" spans="1:1" ht="16.5" customHeight="1">
      <c r="A178" s="15"/>
    </row>
    <row r="180" spans="1:1" ht="16.5" customHeight="1">
      <c r="A180" s="15"/>
    </row>
    <row r="182" spans="1:1" ht="16.5" customHeight="1">
      <c r="A182" s="15"/>
    </row>
    <row r="184" spans="1:1" ht="16.5" customHeight="1">
      <c r="A184" s="15"/>
    </row>
    <row r="186" spans="1:1" ht="16.5" customHeight="1">
      <c r="A186" s="15"/>
    </row>
    <row r="188" spans="1:1" ht="16.5" customHeight="1">
      <c r="A188" s="15"/>
    </row>
    <row r="190" spans="1:1" ht="16.5" customHeight="1">
      <c r="A190" s="15"/>
    </row>
    <row r="192" spans="1:1" ht="16.5" customHeight="1">
      <c r="A192" s="15"/>
    </row>
    <row r="194" spans="1:1" ht="16.5" customHeight="1">
      <c r="A194" s="15"/>
    </row>
    <row r="196" spans="1:1" ht="16.5" customHeight="1">
      <c r="A196" s="15"/>
    </row>
    <row r="198" spans="1:1" ht="16.5" customHeight="1">
      <c r="A198" s="15"/>
    </row>
    <row r="200" spans="1:1" ht="16.5" customHeight="1">
      <c r="A200" s="15"/>
    </row>
    <row r="202" spans="1:1" ht="16.5" customHeight="1">
      <c r="A202" s="15"/>
    </row>
    <row r="204" spans="1:1" ht="16.5" customHeight="1">
      <c r="A204" s="15"/>
    </row>
    <row r="206" spans="1:1" ht="16.5" customHeight="1">
      <c r="A206" s="15"/>
    </row>
    <row r="208" spans="1:1" ht="16.5" customHeight="1">
      <c r="A208" s="15"/>
    </row>
    <row r="210" spans="1:1" ht="16.5" customHeight="1">
      <c r="A210" s="15"/>
    </row>
    <row r="212" spans="1:1" ht="16.5" customHeight="1">
      <c r="A212" s="15"/>
    </row>
    <row r="214" spans="1:1" ht="16.5" customHeight="1">
      <c r="A214" s="15"/>
    </row>
    <row r="216" spans="1:1" ht="16.5" customHeight="1">
      <c r="A216" s="15"/>
    </row>
    <row r="218" spans="1:1" ht="16.5" customHeight="1">
      <c r="A218" s="15"/>
    </row>
    <row r="220" spans="1:1" ht="16.5" customHeight="1">
      <c r="A220" s="15"/>
    </row>
    <row r="222" spans="1:1" ht="16.5" customHeight="1">
      <c r="A222" s="15"/>
    </row>
    <row r="224" spans="1:1" ht="16.5" customHeight="1">
      <c r="A224" s="15"/>
    </row>
    <row r="226" spans="1:1" ht="16.5" customHeight="1">
      <c r="A226" s="15"/>
    </row>
    <row r="228" spans="1:1" ht="16.5" customHeight="1">
      <c r="A228" s="15"/>
    </row>
    <row r="230" spans="1:1" ht="16.5" customHeight="1">
      <c r="A230" s="15"/>
    </row>
    <row r="232" spans="1:1" ht="16.5" customHeight="1">
      <c r="A232" s="15"/>
    </row>
    <row r="234" spans="1:1" ht="16.5" customHeight="1">
      <c r="A234" s="15"/>
    </row>
    <row r="236" spans="1:1" ht="16.5" customHeight="1">
      <c r="A236" s="15"/>
    </row>
    <row r="238" spans="1:1" ht="16.5" customHeight="1">
      <c r="A238" s="15"/>
    </row>
    <row r="240" spans="1:1" ht="16.5" customHeight="1">
      <c r="A240" s="15"/>
    </row>
    <row r="242" spans="1:1" ht="16.5" customHeight="1">
      <c r="A242" s="15"/>
    </row>
    <row r="244" spans="1:1" ht="16.5" customHeight="1">
      <c r="A244" s="15"/>
    </row>
    <row r="246" spans="1:1" ht="16.5" customHeight="1">
      <c r="A246" s="15"/>
    </row>
    <row r="248" spans="1:1" ht="16.5" customHeight="1">
      <c r="A248" s="15"/>
    </row>
    <row r="250" spans="1:1" ht="16.5" customHeight="1">
      <c r="A250" s="15"/>
    </row>
    <row r="252" spans="1:1" ht="16.5" customHeight="1">
      <c r="A252" s="15"/>
    </row>
    <row r="254" spans="1:1" ht="16.5" customHeight="1">
      <c r="A254" s="15"/>
    </row>
    <row r="256" spans="1:1" ht="16.5" customHeight="1">
      <c r="A256" s="15"/>
    </row>
    <row r="258" spans="1:1" ht="16.5" customHeight="1">
      <c r="A258" s="15"/>
    </row>
    <row r="260" spans="1:1" ht="16.5" customHeight="1">
      <c r="A260" s="15"/>
    </row>
    <row r="262" spans="1:1" ht="16.5" customHeight="1">
      <c r="A262" s="15"/>
    </row>
    <row r="264" spans="1:1" ht="16.5" customHeight="1">
      <c r="A264" s="15"/>
    </row>
    <row r="266" spans="1:1" ht="16.5" customHeight="1">
      <c r="A266" s="15"/>
    </row>
    <row r="268" spans="1:1" ht="16.5" customHeight="1">
      <c r="A268" s="15"/>
    </row>
    <row r="270" spans="1:1" ht="16.5" customHeight="1">
      <c r="A270" s="15"/>
    </row>
    <row r="272" spans="1:1" ht="16.5" customHeight="1">
      <c r="A272" s="15"/>
    </row>
    <row r="274" spans="1:1" ht="16.5" customHeight="1">
      <c r="A274" s="15"/>
    </row>
    <row r="276" spans="1:1" ht="16.5" customHeight="1">
      <c r="A276" s="15"/>
    </row>
    <row r="278" spans="1:1" ht="16.5" customHeight="1">
      <c r="A278" s="15"/>
    </row>
    <row r="280" spans="1:1" ht="16.5" customHeight="1">
      <c r="A280" s="15"/>
    </row>
    <row r="282" spans="1:1" ht="16.5" customHeight="1">
      <c r="A282" s="15"/>
    </row>
    <row r="284" spans="1:1" ht="16.5" customHeight="1">
      <c r="A284" s="15"/>
    </row>
    <row r="286" spans="1:1" ht="16.5" customHeight="1">
      <c r="A286" s="15"/>
    </row>
    <row r="288" spans="1:1" ht="16.5" customHeight="1">
      <c r="A288" s="15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B0EAD-7AB8-4BDA-8ADB-098ECDC8679E}">
  <sheetPr codeName="Sheet3">
    <tabColor rgb="FFFFFFCC"/>
  </sheetPr>
  <dimension ref="A1:R98"/>
  <sheetViews>
    <sheetView workbookViewId="0">
      <selection activeCell="P29" sqref="P29"/>
    </sheetView>
  </sheetViews>
  <sheetFormatPr defaultRowHeight="18.75"/>
  <sheetData>
    <row r="1" spans="1:18" ht="19.5" thickBot="1">
      <c r="A1" s="1" t="s">
        <v>19</v>
      </c>
      <c r="B1" s="8" t="s">
        <v>20</v>
      </c>
      <c r="C1" s="7"/>
      <c r="D1" s="7"/>
      <c r="E1" s="9"/>
      <c r="F1" s="8" t="s">
        <v>21</v>
      </c>
      <c r="G1" s="7"/>
      <c r="H1" s="7"/>
      <c r="I1" s="9"/>
      <c r="J1" s="2" t="s">
        <v>22</v>
      </c>
      <c r="K1" s="8" t="s">
        <v>23</v>
      </c>
      <c r="L1" s="9"/>
      <c r="M1" s="8" t="s">
        <v>24</v>
      </c>
      <c r="N1" s="9"/>
      <c r="O1" s="8" t="s">
        <v>25</v>
      </c>
      <c r="P1" s="9"/>
      <c r="Q1" s="8" t="s">
        <v>26</v>
      </c>
      <c r="R1" s="9"/>
    </row>
    <row r="2" spans="1:18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37</v>
      </c>
      <c r="L2" s="4" t="s">
        <v>38</v>
      </c>
      <c r="M2" s="4" t="s">
        <v>39</v>
      </c>
      <c r="N2" s="4" t="s">
        <v>40</v>
      </c>
      <c r="O2" s="4" t="s">
        <v>41</v>
      </c>
      <c r="P2" s="4" t="s">
        <v>42</v>
      </c>
      <c r="Q2" s="4" t="s">
        <v>43</v>
      </c>
      <c r="R2" s="4" t="s">
        <v>43</v>
      </c>
    </row>
    <row r="3" spans="1:18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1</v>
      </c>
      <c r="M3" s="6">
        <v>1</v>
      </c>
      <c r="N3" s="6">
        <v>0</v>
      </c>
      <c r="O3" s="6">
        <v>0</v>
      </c>
      <c r="P3" s="6">
        <v>0</v>
      </c>
      <c r="Q3" s="6">
        <v>1</v>
      </c>
      <c r="R3" s="6">
        <v>1</v>
      </c>
    </row>
    <row r="4" spans="1:18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1</v>
      </c>
      <c r="M4" s="6">
        <v>1</v>
      </c>
      <c r="N4" s="6">
        <v>0</v>
      </c>
      <c r="O4" s="6">
        <v>0</v>
      </c>
      <c r="P4" s="6">
        <v>0</v>
      </c>
      <c r="Q4" s="6">
        <v>1</v>
      </c>
      <c r="R4" s="6">
        <v>1</v>
      </c>
    </row>
    <row r="5" spans="1:18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1</v>
      </c>
      <c r="M5" s="6">
        <v>1</v>
      </c>
      <c r="N5" s="6">
        <v>0</v>
      </c>
      <c r="O5" s="6">
        <v>0</v>
      </c>
      <c r="P5" s="6">
        <v>0</v>
      </c>
      <c r="Q5" s="6">
        <v>1</v>
      </c>
      <c r="R5" s="6">
        <v>1</v>
      </c>
    </row>
    <row r="6" spans="1:18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1</v>
      </c>
      <c r="M6" s="6">
        <v>1</v>
      </c>
      <c r="N6" s="6">
        <v>0</v>
      </c>
      <c r="O6" s="6">
        <v>0</v>
      </c>
      <c r="P6" s="6">
        <v>0</v>
      </c>
      <c r="Q6" s="6">
        <v>1</v>
      </c>
      <c r="R6" s="6">
        <v>1</v>
      </c>
    </row>
    <row r="7" spans="1:18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1</v>
      </c>
      <c r="M7" s="6">
        <v>1</v>
      </c>
      <c r="N7" s="6">
        <v>0</v>
      </c>
      <c r="O7" s="6">
        <v>0</v>
      </c>
      <c r="P7" s="6">
        <v>0</v>
      </c>
      <c r="Q7" s="6">
        <v>1</v>
      </c>
      <c r="R7" s="6">
        <v>1</v>
      </c>
    </row>
    <row r="8" spans="1:18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1</v>
      </c>
      <c r="M8" s="6">
        <v>1</v>
      </c>
      <c r="N8" s="6">
        <v>0</v>
      </c>
      <c r="O8" s="6">
        <v>0</v>
      </c>
      <c r="P8" s="6">
        <v>0</v>
      </c>
      <c r="Q8" s="6">
        <v>1</v>
      </c>
      <c r="R8" s="6">
        <v>1</v>
      </c>
    </row>
    <row r="9" spans="1:18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1</v>
      </c>
      <c r="M9" s="6">
        <v>1</v>
      </c>
      <c r="N9" s="6">
        <v>0</v>
      </c>
      <c r="O9" s="6">
        <v>0</v>
      </c>
      <c r="P9" s="6">
        <v>0</v>
      </c>
      <c r="Q9" s="6">
        <v>1</v>
      </c>
      <c r="R9" s="6">
        <v>1</v>
      </c>
    </row>
    <row r="10" spans="1:18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1</v>
      </c>
      <c r="M10" s="6">
        <v>1</v>
      </c>
      <c r="N10" s="6">
        <v>0</v>
      </c>
      <c r="O10" s="6">
        <v>0</v>
      </c>
      <c r="P10" s="6">
        <v>0</v>
      </c>
      <c r="Q10" s="6">
        <v>1</v>
      </c>
      <c r="R10" s="6">
        <v>1</v>
      </c>
    </row>
    <row r="11" spans="1:18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1</v>
      </c>
      <c r="M11" s="6">
        <v>1</v>
      </c>
      <c r="N11" s="6">
        <v>0</v>
      </c>
      <c r="O11" s="6">
        <v>0</v>
      </c>
      <c r="P11" s="6">
        <v>0</v>
      </c>
      <c r="Q11" s="6">
        <v>1</v>
      </c>
      <c r="R11" s="6">
        <v>1</v>
      </c>
    </row>
    <row r="12" spans="1:18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1</v>
      </c>
      <c r="M12" s="6">
        <v>1</v>
      </c>
      <c r="N12" s="6">
        <v>0</v>
      </c>
      <c r="O12" s="6">
        <v>0</v>
      </c>
      <c r="P12" s="6">
        <v>0</v>
      </c>
      <c r="Q12" s="6">
        <v>1</v>
      </c>
      <c r="R12" s="6">
        <v>1</v>
      </c>
    </row>
    <row r="13" spans="1:18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1</v>
      </c>
      <c r="M13" s="6">
        <v>1</v>
      </c>
      <c r="N13" s="6">
        <v>0</v>
      </c>
      <c r="O13" s="6">
        <v>0</v>
      </c>
      <c r="P13" s="6">
        <v>0</v>
      </c>
      <c r="Q13" s="6">
        <v>1</v>
      </c>
      <c r="R13" s="6">
        <v>1</v>
      </c>
    </row>
    <row r="14" spans="1:18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1</v>
      </c>
      <c r="M14" s="6">
        <v>1</v>
      </c>
      <c r="N14" s="6">
        <v>0</v>
      </c>
      <c r="O14" s="6">
        <v>0</v>
      </c>
      <c r="P14" s="6">
        <v>0</v>
      </c>
      <c r="Q14" s="6">
        <v>1</v>
      </c>
      <c r="R14" s="6">
        <v>1</v>
      </c>
    </row>
    <row r="15" spans="1:18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1</v>
      </c>
      <c r="M15" s="6">
        <v>1</v>
      </c>
      <c r="N15" s="6">
        <v>0</v>
      </c>
      <c r="O15" s="6">
        <v>0</v>
      </c>
      <c r="P15" s="6">
        <v>0</v>
      </c>
      <c r="Q15" s="6">
        <v>1</v>
      </c>
      <c r="R15" s="6">
        <v>1</v>
      </c>
    </row>
    <row r="16" spans="1:18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1</v>
      </c>
      <c r="M16" s="6">
        <v>1</v>
      </c>
      <c r="N16" s="6">
        <v>0</v>
      </c>
      <c r="O16" s="6">
        <v>0</v>
      </c>
      <c r="P16" s="6">
        <v>0</v>
      </c>
      <c r="Q16" s="6">
        <v>1</v>
      </c>
      <c r="R16" s="6">
        <v>1</v>
      </c>
    </row>
    <row r="17" spans="1:18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1</v>
      </c>
      <c r="M17" s="6">
        <v>1</v>
      </c>
      <c r="N17" s="6">
        <v>0</v>
      </c>
      <c r="O17" s="6">
        <v>0</v>
      </c>
      <c r="P17" s="6">
        <v>0</v>
      </c>
      <c r="Q17" s="6">
        <v>1</v>
      </c>
      <c r="R17" s="6">
        <v>1</v>
      </c>
    </row>
    <row r="18" spans="1:18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1</v>
      </c>
      <c r="M18" s="6">
        <v>1</v>
      </c>
      <c r="N18" s="6">
        <v>0</v>
      </c>
      <c r="O18" s="6">
        <v>0</v>
      </c>
      <c r="P18" s="6">
        <v>0</v>
      </c>
      <c r="Q18" s="6">
        <v>1</v>
      </c>
      <c r="R18" s="6">
        <v>1</v>
      </c>
    </row>
    <row r="19" spans="1:18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1</v>
      </c>
      <c r="M19" s="6">
        <v>1</v>
      </c>
      <c r="N19" s="6">
        <v>0</v>
      </c>
      <c r="O19" s="6">
        <v>0</v>
      </c>
      <c r="P19" s="6">
        <v>0</v>
      </c>
      <c r="Q19" s="6">
        <v>1</v>
      </c>
      <c r="R19" s="6">
        <v>1</v>
      </c>
    </row>
    <row r="20" spans="1:18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1</v>
      </c>
      <c r="M20" s="6">
        <v>1</v>
      </c>
      <c r="N20" s="6">
        <v>0</v>
      </c>
      <c r="O20" s="6">
        <v>0</v>
      </c>
      <c r="P20" s="6">
        <v>0</v>
      </c>
      <c r="Q20" s="6">
        <v>1</v>
      </c>
      <c r="R20" s="6">
        <v>1</v>
      </c>
    </row>
    <row r="21" spans="1:18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1</v>
      </c>
      <c r="M21" s="6">
        <v>1</v>
      </c>
      <c r="N21" s="6">
        <v>0</v>
      </c>
      <c r="O21" s="6">
        <v>0</v>
      </c>
      <c r="P21" s="6">
        <v>0</v>
      </c>
      <c r="Q21" s="6">
        <v>1</v>
      </c>
      <c r="R21" s="6">
        <v>1</v>
      </c>
    </row>
    <row r="22" spans="1:18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1</v>
      </c>
      <c r="M22" s="6">
        <v>1</v>
      </c>
      <c r="N22" s="6">
        <v>0</v>
      </c>
      <c r="O22" s="6">
        <v>0</v>
      </c>
      <c r="P22" s="6">
        <v>0</v>
      </c>
      <c r="Q22" s="6">
        <v>1</v>
      </c>
      <c r="R22" s="6">
        <v>1</v>
      </c>
    </row>
    <row r="23" spans="1:18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1</v>
      </c>
      <c r="M23" s="6">
        <v>1</v>
      </c>
      <c r="N23" s="6">
        <v>0</v>
      </c>
      <c r="O23" s="6">
        <v>0</v>
      </c>
      <c r="P23" s="6">
        <v>0</v>
      </c>
      <c r="Q23" s="6">
        <v>1</v>
      </c>
      <c r="R23" s="6">
        <v>1</v>
      </c>
    </row>
    <row r="24" spans="1:18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1</v>
      </c>
      <c r="M24" s="6">
        <v>1</v>
      </c>
      <c r="N24" s="6">
        <v>0</v>
      </c>
      <c r="O24" s="6">
        <v>0</v>
      </c>
      <c r="P24" s="6">
        <v>0</v>
      </c>
      <c r="Q24" s="6">
        <v>1</v>
      </c>
      <c r="R24" s="6">
        <v>1</v>
      </c>
    </row>
    <row r="25" spans="1:18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1</v>
      </c>
      <c r="M25" s="6">
        <v>1</v>
      </c>
      <c r="N25" s="6">
        <v>0</v>
      </c>
      <c r="O25" s="6">
        <v>0</v>
      </c>
      <c r="P25" s="6">
        <v>0</v>
      </c>
      <c r="Q25" s="6">
        <v>1</v>
      </c>
      <c r="R25" s="6">
        <v>1</v>
      </c>
    </row>
    <row r="26" spans="1:18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1</v>
      </c>
      <c r="M26" s="6">
        <v>1</v>
      </c>
      <c r="N26" s="6">
        <v>0</v>
      </c>
      <c r="O26" s="6">
        <v>0</v>
      </c>
      <c r="P26" s="6">
        <v>0</v>
      </c>
      <c r="Q26" s="6">
        <v>1</v>
      </c>
      <c r="R26" s="6">
        <v>1</v>
      </c>
    </row>
    <row r="27" spans="1:18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1</v>
      </c>
      <c r="M27" s="6">
        <v>1</v>
      </c>
      <c r="N27" s="6">
        <v>0</v>
      </c>
      <c r="O27" s="6">
        <v>0</v>
      </c>
      <c r="P27" s="6">
        <v>0</v>
      </c>
      <c r="Q27" s="6">
        <v>1</v>
      </c>
      <c r="R27" s="6">
        <v>1</v>
      </c>
    </row>
    <row r="28" spans="1:18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1</v>
      </c>
      <c r="M28" s="6">
        <v>1</v>
      </c>
      <c r="N28" s="6">
        <v>0</v>
      </c>
      <c r="O28" s="6">
        <v>0</v>
      </c>
      <c r="P28" s="6">
        <v>0</v>
      </c>
      <c r="Q28" s="6">
        <v>1</v>
      </c>
      <c r="R28" s="6">
        <v>1</v>
      </c>
    </row>
    <row r="29" spans="1:18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1</v>
      </c>
      <c r="M29" s="6">
        <v>1</v>
      </c>
      <c r="N29" s="6">
        <v>0</v>
      </c>
      <c r="O29" s="6">
        <v>0</v>
      </c>
      <c r="P29" s="6">
        <v>1</v>
      </c>
      <c r="Q29" s="6">
        <v>1</v>
      </c>
      <c r="R29" s="6">
        <v>1</v>
      </c>
    </row>
    <row r="30" spans="1:18" ht="19.5" thickBot="1">
      <c r="A30" s="5">
        <v>0.28125</v>
      </c>
      <c r="B30" s="6">
        <v>3</v>
      </c>
      <c r="C30" s="6">
        <v>1</v>
      </c>
      <c r="D30" s="6">
        <v>1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1</v>
      </c>
      <c r="M30" s="6">
        <v>1</v>
      </c>
      <c r="N30" s="6">
        <v>0</v>
      </c>
      <c r="O30" s="6">
        <v>0</v>
      </c>
      <c r="P30" s="6">
        <v>0</v>
      </c>
      <c r="Q30" s="6">
        <v>1</v>
      </c>
      <c r="R30" s="6">
        <v>1</v>
      </c>
    </row>
    <row r="31" spans="1:18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1</v>
      </c>
      <c r="M31" s="6">
        <v>1</v>
      </c>
      <c r="N31" s="6">
        <v>0</v>
      </c>
      <c r="O31" s="6">
        <v>0</v>
      </c>
      <c r="P31" s="6">
        <v>1</v>
      </c>
      <c r="Q31" s="6">
        <v>1</v>
      </c>
      <c r="R31" s="6">
        <v>1</v>
      </c>
    </row>
    <row r="32" spans="1:18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1</v>
      </c>
      <c r="M32" s="6">
        <v>1</v>
      </c>
      <c r="N32" s="6">
        <v>0</v>
      </c>
      <c r="O32" s="6">
        <v>0</v>
      </c>
      <c r="P32" s="6">
        <v>1</v>
      </c>
      <c r="Q32" s="6">
        <v>1</v>
      </c>
      <c r="R32" s="6">
        <v>1</v>
      </c>
    </row>
    <row r="33" spans="1:18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0</v>
      </c>
      <c r="J33" s="6">
        <v>0</v>
      </c>
      <c r="K33" s="6">
        <v>1</v>
      </c>
      <c r="L33" s="6">
        <v>1</v>
      </c>
      <c r="M33" s="6">
        <v>1</v>
      </c>
      <c r="N33" s="6">
        <v>0</v>
      </c>
      <c r="O33" s="6">
        <v>0</v>
      </c>
      <c r="P33" s="6">
        <v>0</v>
      </c>
      <c r="Q33" s="6">
        <v>1</v>
      </c>
      <c r="R33" s="6">
        <v>1</v>
      </c>
    </row>
    <row r="34" spans="1:18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1</v>
      </c>
      <c r="M34" s="6">
        <v>1</v>
      </c>
      <c r="N34" s="6">
        <v>0</v>
      </c>
      <c r="O34" s="6">
        <v>1</v>
      </c>
      <c r="P34" s="6">
        <v>0</v>
      </c>
      <c r="Q34" s="6">
        <v>1</v>
      </c>
      <c r="R34" s="6">
        <v>1</v>
      </c>
    </row>
    <row r="35" spans="1:18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1</v>
      </c>
      <c r="M35" s="6">
        <v>1</v>
      </c>
      <c r="N35" s="6">
        <v>0</v>
      </c>
      <c r="O35" s="6">
        <v>1</v>
      </c>
      <c r="P35" s="6">
        <v>0</v>
      </c>
      <c r="Q35" s="6">
        <v>1</v>
      </c>
      <c r="R35" s="6">
        <v>1</v>
      </c>
    </row>
    <row r="36" spans="1:18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1</v>
      </c>
      <c r="M36" s="6">
        <v>1</v>
      </c>
      <c r="N36" s="6">
        <v>0</v>
      </c>
      <c r="O36" s="6">
        <v>1</v>
      </c>
      <c r="P36" s="6">
        <v>0</v>
      </c>
      <c r="Q36" s="6">
        <v>1</v>
      </c>
      <c r="R36" s="6">
        <v>1</v>
      </c>
    </row>
    <row r="37" spans="1:18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1</v>
      </c>
      <c r="M37" s="6">
        <v>1</v>
      </c>
      <c r="N37" s="6">
        <v>0</v>
      </c>
      <c r="O37" s="6">
        <v>0</v>
      </c>
      <c r="P37" s="6">
        <v>0</v>
      </c>
      <c r="Q37" s="6">
        <v>1</v>
      </c>
      <c r="R37" s="6">
        <v>1</v>
      </c>
    </row>
    <row r="38" spans="1:18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1</v>
      </c>
      <c r="M38" s="6">
        <v>1</v>
      </c>
      <c r="N38" s="6">
        <v>0</v>
      </c>
      <c r="O38" s="6">
        <v>0</v>
      </c>
      <c r="P38" s="6">
        <v>0</v>
      </c>
      <c r="Q38" s="6">
        <v>1</v>
      </c>
      <c r="R38" s="6">
        <v>1</v>
      </c>
    </row>
    <row r="39" spans="1:18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1</v>
      </c>
      <c r="J39" s="6">
        <v>0</v>
      </c>
      <c r="K39" s="6">
        <v>1</v>
      </c>
      <c r="L39" s="6">
        <v>1</v>
      </c>
      <c r="M39" s="6">
        <v>1</v>
      </c>
      <c r="N39" s="6">
        <v>0</v>
      </c>
      <c r="O39" s="6">
        <v>0</v>
      </c>
      <c r="P39" s="6">
        <v>0</v>
      </c>
      <c r="Q39" s="6">
        <v>1</v>
      </c>
      <c r="R39" s="6">
        <v>1</v>
      </c>
    </row>
    <row r="40" spans="1:18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0</v>
      </c>
      <c r="J40" s="6">
        <v>0</v>
      </c>
      <c r="K40" s="6">
        <v>1</v>
      </c>
      <c r="L40" s="6">
        <v>1</v>
      </c>
      <c r="M40" s="6">
        <v>1</v>
      </c>
      <c r="N40" s="6">
        <v>0</v>
      </c>
      <c r="O40" s="6">
        <v>0</v>
      </c>
      <c r="P40" s="6">
        <v>0</v>
      </c>
      <c r="Q40" s="6">
        <v>1</v>
      </c>
      <c r="R40" s="6">
        <v>1</v>
      </c>
    </row>
    <row r="41" spans="1:18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1</v>
      </c>
      <c r="M41" s="6">
        <v>1</v>
      </c>
      <c r="N41" s="6">
        <v>0</v>
      </c>
      <c r="O41" s="6">
        <v>0</v>
      </c>
      <c r="P41" s="6">
        <v>0</v>
      </c>
      <c r="Q41" s="6">
        <v>1</v>
      </c>
      <c r="R41" s="6">
        <v>1</v>
      </c>
    </row>
    <row r="42" spans="1:18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1</v>
      </c>
      <c r="K42" s="6">
        <v>1</v>
      </c>
      <c r="L42" s="6">
        <v>1</v>
      </c>
      <c r="M42" s="6">
        <v>1</v>
      </c>
      <c r="N42" s="6">
        <v>0</v>
      </c>
      <c r="O42" s="6">
        <v>0</v>
      </c>
      <c r="P42" s="6">
        <v>0</v>
      </c>
      <c r="Q42" s="6">
        <v>1</v>
      </c>
      <c r="R42" s="6">
        <v>1</v>
      </c>
    </row>
    <row r="43" spans="1:18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1</v>
      </c>
      <c r="L43" s="6">
        <v>1</v>
      </c>
      <c r="M43" s="6">
        <v>1</v>
      </c>
      <c r="N43" s="6">
        <v>0</v>
      </c>
      <c r="O43" s="6">
        <v>0</v>
      </c>
      <c r="P43" s="6">
        <v>0</v>
      </c>
      <c r="Q43" s="6">
        <v>1</v>
      </c>
      <c r="R43" s="6">
        <v>1</v>
      </c>
    </row>
    <row r="44" spans="1:18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1</v>
      </c>
      <c r="L44" s="6">
        <v>1</v>
      </c>
      <c r="M44" s="6">
        <v>1</v>
      </c>
      <c r="N44" s="6">
        <v>0</v>
      </c>
      <c r="O44" s="6">
        <v>0</v>
      </c>
      <c r="P44" s="6">
        <v>0</v>
      </c>
      <c r="Q44" s="6">
        <v>1</v>
      </c>
      <c r="R44" s="6">
        <v>1</v>
      </c>
    </row>
    <row r="45" spans="1:18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1</v>
      </c>
      <c r="L45" s="6">
        <v>1</v>
      </c>
      <c r="M45" s="6">
        <v>1</v>
      </c>
      <c r="N45" s="6">
        <v>0</v>
      </c>
      <c r="O45" s="6">
        <v>0</v>
      </c>
      <c r="P45" s="6">
        <v>0</v>
      </c>
      <c r="Q45" s="6">
        <v>1</v>
      </c>
      <c r="R45" s="6">
        <v>1</v>
      </c>
    </row>
    <row r="46" spans="1:18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1</v>
      </c>
      <c r="L46" s="6">
        <v>1</v>
      </c>
      <c r="M46" s="6">
        <v>1</v>
      </c>
      <c r="N46" s="6">
        <v>0</v>
      </c>
      <c r="O46" s="6">
        <v>0</v>
      </c>
      <c r="P46" s="6">
        <v>0</v>
      </c>
      <c r="Q46" s="6">
        <v>1</v>
      </c>
      <c r="R46" s="6">
        <v>1</v>
      </c>
    </row>
    <row r="47" spans="1:18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1</v>
      </c>
      <c r="L47" s="6">
        <v>1</v>
      </c>
      <c r="M47" s="6">
        <v>1</v>
      </c>
      <c r="N47" s="6">
        <v>0</v>
      </c>
      <c r="O47" s="6">
        <v>0</v>
      </c>
      <c r="P47" s="6">
        <v>0</v>
      </c>
      <c r="Q47" s="6">
        <v>1</v>
      </c>
      <c r="R47" s="6">
        <v>1</v>
      </c>
    </row>
    <row r="48" spans="1:18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1</v>
      </c>
      <c r="L48" s="6">
        <v>1</v>
      </c>
      <c r="M48" s="6">
        <v>1</v>
      </c>
      <c r="N48" s="6">
        <v>0</v>
      </c>
      <c r="O48" s="6">
        <v>0</v>
      </c>
      <c r="P48" s="6">
        <v>0</v>
      </c>
      <c r="Q48" s="6">
        <v>1</v>
      </c>
      <c r="R48" s="6">
        <v>1</v>
      </c>
    </row>
    <row r="49" spans="1:18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1</v>
      </c>
      <c r="L49" s="6">
        <v>1</v>
      </c>
      <c r="M49" s="6">
        <v>1</v>
      </c>
      <c r="N49" s="6">
        <v>0</v>
      </c>
      <c r="O49" s="6">
        <v>0</v>
      </c>
      <c r="P49" s="6">
        <v>0</v>
      </c>
      <c r="Q49" s="6">
        <v>1</v>
      </c>
      <c r="R49" s="6">
        <v>1</v>
      </c>
    </row>
    <row r="50" spans="1:18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1</v>
      </c>
      <c r="L50" s="6">
        <v>1</v>
      </c>
      <c r="M50" s="6">
        <v>1</v>
      </c>
      <c r="N50" s="6">
        <v>0</v>
      </c>
      <c r="O50" s="6">
        <v>0</v>
      </c>
      <c r="P50" s="6">
        <v>0</v>
      </c>
      <c r="Q50" s="6">
        <v>1</v>
      </c>
      <c r="R50" s="6">
        <v>1</v>
      </c>
    </row>
    <row r="51" spans="1:18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1</v>
      </c>
      <c r="M51" s="6">
        <v>1</v>
      </c>
      <c r="N51" s="6">
        <v>0</v>
      </c>
      <c r="O51" s="6">
        <v>0</v>
      </c>
      <c r="P51" s="6">
        <v>0</v>
      </c>
      <c r="Q51" s="6">
        <v>1</v>
      </c>
      <c r="R51" s="6">
        <v>1</v>
      </c>
    </row>
    <row r="52" spans="1:18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1</v>
      </c>
      <c r="M52" s="6">
        <v>1</v>
      </c>
      <c r="N52" s="6">
        <v>0</v>
      </c>
      <c r="O52" s="6">
        <v>0</v>
      </c>
      <c r="P52" s="6">
        <v>0</v>
      </c>
      <c r="Q52" s="6">
        <v>1</v>
      </c>
      <c r="R52" s="6">
        <v>1</v>
      </c>
    </row>
    <row r="53" spans="1:18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1</v>
      </c>
      <c r="M53" s="6">
        <v>1</v>
      </c>
      <c r="N53" s="6">
        <v>0</v>
      </c>
      <c r="O53" s="6">
        <v>0</v>
      </c>
      <c r="P53" s="6">
        <v>0</v>
      </c>
      <c r="Q53" s="6">
        <v>1</v>
      </c>
      <c r="R53" s="6">
        <v>1</v>
      </c>
    </row>
    <row r="54" spans="1:18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1</v>
      </c>
      <c r="M54" s="6">
        <v>1</v>
      </c>
      <c r="N54" s="6">
        <v>0</v>
      </c>
      <c r="O54" s="6">
        <v>0</v>
      </c>
      <c r="P54" s="6">
        <v>0</v>
      </c>
      <c r="Q54" s="6">
        <v>1</v>
      </c>
      <c r="R54" s="6">
        <v>1</v>
      </c>
    </row>
    <row r="55" spans="1:18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1</v>
      </c>
      <c r="M55" s="6">
        <v>1</v>
      </c>
      <c r="N55" s="6">
        <v>0</v>
      </c>
      <c r="O55" s="6">
        <v>0</v>
      </c>
      <c r="P55" s="6">
        <v>0</v>
      </c>
      <c r="Q55" s="6">
        <v>1</v>
      </c>
      <c r="R55" s="6">
        <v>1</v>
      </c>
    </row>
    <row r="56" spans="1:18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1</v>
      </c>
      <c r="M56" s="6">
        <v>1</v>
      </c>
      <c r="N56" s="6">
        <v>0</v>
      </c>
      <c r="O56" s="6">
        <v>0</v>
      </c>
      <c r="P56" s="6">
        <v>0</v>
      </c>
      <c r="Q56" s="6">
        <v>1</v>
      </c>
      <c r="R56" s="6">
        <v>1</v>
      </c>
    </row>
    <row r="57" spans="1:18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1</v>
      </c>
      <c r="M57" s="6">
        <v>1</v>
      </c>
      <c r="N57" s="6">
        <v>0</v>
      </c>
      <c r="O57" s="6">
        <v>0</v>
      </c>
      <c r="P57" s="6">
        <v>0</v>
      </c>
      <c r="Q57" s="6">
        <v>1</v>
      </c>
      <c r="R57" s="6">
        <v>1</v>
      </c>
    </row>
    <row r="58" spans="1:18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1</v>
      </c>
      <c r="M58" s="6">
        <v>1</v>
      </c>
      <c r="N58" s="6">
        <v>0</v>
      </c>
      <c r="O58" s="6">
        <v>0</v>
      </c>
      <c r="P58" s="6">
        <v>0</v>
      </c>
      <c r="Q58" s="6">
        <v>1</v>
      </c>
      <c r="R58" s="6">
        <v>1</v>
      </c>
    </row>
    <row r="59" spans="1:18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1</v>
      </c>
      <c r="M59" s="6">
        <v>1</v>
      </c>
      <c r="N59" s="6">
        <v>0</v>
      </c>
      <c r="O59" s="6">
        <v>0</v>
      </c>
      <c r="P59" s="6">
        <v>0</v>
      </c>
      <c r="Q59" s="6">
        <v>1</v>
      </c>
      <c r="R59" s="6">
        <v>1</v>
      </c>
    </row>
    <row r="60" spans="1:18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1</v>
      </c>
      <c r="M60" s="6">
        <v>1</v>
      </c>
      <c r="N60" s="6">
        <v>0</v>
      </c>
      <c r="O60" s="6">
        <v>0</v>
      </c>
      <c r="P60" s="6">
        <v>0</v>
      </c>
      <c r="Q60" s="6">
        <v>1</v>
      </c>
      <c r="R60" s="6">
        <v>1</v>
      </c>
    </row>
    <row r="61" spans="1:18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1</v>
      </c>
      <c r="M61" s="6">
        <v>1</v>
      </c>
      <c r="N61" s="6">
        <v>0</v>
      </c>
      <c r="O61" s="6">
        <v>0</v>
      </c>
      <c r="P61" s="6">
        <v>0</v>
      </c>
      <c r="Q61" s="6">
        <v>1</v>
      </c>
      <c r="R61" s="6">
        <v>1</v>
      </c>
    </row>
    <row r="62" spans="1:18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1</v>
      </c>
      <c r="M62" s="6">
        <v>1</v>
      </c>
      <c r="N62" s="6">
        <v>0</v>
      </c>
      <c r="O62" s="6">
        <v>0</v>
      </c>
      <c r="P62" s="6">
        <v>0</v>
      </c>
      <c r="Q62" s="6">
        <v>1</v>
      </c>
      <c r="R62" s="6">
        <v>1</v>
      </c>
    </row>
    <row r="63" spans="1:18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1</v>
      </c>
      <c r="M63" s="6">
        <v>1</v>
      </c>
      <c r="N63" s="6">
        <v>0</v>
      </c>
      <c r="O63" s="6">
        <v>0</v>
      </c>
      <c r="P63" s="6">
        <v>0</v>
      </c>
      <c r="Q63" s="6">
        <v>1</v>
      </c>
      <c r="R63" s="6">
        <v>1</v>
      </c>
    </row>
    <row r="64" spans="1:18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1</v>
      </c>
      <c r="M64" s="6">
        <v>1</v>
      </c>
      <c r="N64" s="6">
        <v>0</v>
      </c>
      <c r="O64" s="6">
        <v>0</v>
      </c>
      <c r="P64" s="6">
        <v>0</v>
      </c>
      <c r="Q64" s="6">
        <v>1</v>
      </c>
      <c r="R64" s="6">
        <v>1</v>
      </c>
    </row>
    <row r="65" spans="1:18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1</v>
      </c>
      <c r="M65" s="6">
        <v>1</v>
      </c>
      <c r="N65" s="6">
        <v>0</v>
      </c>
      <c r="O65" s="6">
        <v>0</v>
      </c>
      <c r="P65" s="6">
        <v>0</v>
      </c>
      <c r="Q65" s="6">
        <v>1</v>
      </c>
      <c r="R65" s="6">
        <v>1</v>
      </c>
    </row>
    <row r="66" spans="1:18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1</v>
      </c>
      <c r="M66" s="6">
        <v>1</v>
      </c>
      <c r="N66" s="6">
        <v>0</v>
      </c>
      <c r="O66" s="6">
        <v>0</v>
      </c>
      <c r="P66" s="6">
        <v>0</v>
      </c>
      <c r="Q66" s="6">
        <v>1</v>
      </c>
      <c r="R66" s="6">
        <v>1</v>
      </c>
    </row>
    <row r="67" spans="1:18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1</v>
      </c>
      <c r="L67" s="6">
        <v>1</v>
      </c>
      <c r="M67" s="6">
        <v>1</v>
      </c>
      <c r="N67" s="6">
        <v>0</v>
      </c>
      <c r="O67" s="6">
        <v>0</v>
      </c>
      <c r="P67" s="6">
        <v>0</v>
      </c>
      <c r="Q67" s="6">
        <v>1</v>
      </c>
      <c r="R67" s="6">
        <v>1</v>
      </c>
    </row>
    <row r="68" spans="1:18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1</v>
      </c>
      <c r="L68" s="6">
        <v>1</v>
      </c>
      <c r="M68" s="6">
        <v>1</v>
      </c>
      <c r="N68" s="6">
        <v>0</v>
      </c>
      <c r="O68" s="6">
        <v>0</v>
      </c>
      <c r="P68" s="6">
        <v>0</v>
      </c>
      <c r="Q68" s="6">
        <v>1</v>
      </c>
      <c r="R68" s="6">
        <v>1</v>
      </c>
    </row>
    <row r="69" spans="1:18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1</v>
      </c>
      <c r="L69" s="6">
        <v>1</v>
      </c>
      <c r="M69" s="6">
        <v>1</v>
      </c>
      <c r="N69" s="6">
        <v>0</v>
      </c>
      <c r="O69" s="6">
        <v>0</v>
      </c>
      <c r="P69" s="6">
        <v>0</v>
      </c>
      <c r="Q69" s="6">
        <v>1</v>
      </c>
      <c r="R69" s="6">
        <v>1</v>
      </c>
    </row>
    <row r="70" spans="1:18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1</v>
      </c>
      <c r="L70" s="6">
        <v>1</v>
      </c>
      <c r="M70" s="6">
        <v>1</v>
      </c>
      <c r="N70" s="6">
        <v>0</v>
      </c>
      <c r="O70" s="6">
        <v>0</v>
      </c>
      <c r="P70" s="6">
        <v>0</v>
      </c>
      <c r="Q70" s="6">
        <v>1</v>
      </c>
      <c r="R70" s="6">
        <v>1</v>
      </c>
    </row>
    <row r="71" spans="1:18" ht="19.5" thickBot="1">
      <c r="A71" s="5">
        <v>0.70833333333333337</v>
      </c>
      <c r="B71" s="6">
        <v>3</v>
      </c>
      <c r="C71" s="6">
        <v>1</v>
      </c>
      <c r="D71" s="6">
        <v>0</v>
      </c>
      <c r="E71" s="6">
        <v>0</v>
      </c>
      <c r="F71" s="6">
        <v>2</v>
      </c>
      <c r="G71" s="6">
        <v>0</v>
      </c>
      <c r="H71" s="6">
        <v>1</v>
      </c>
      <c r="I71" s="6">
        <v>0</v>
      </c>
      <c r="J71" s="6">
        <v>0</v>
      </c>
      <c r="K71" s="6">
        <v>1</v>
      </c>
      <c r="L71" s="6">
        <v>1</v>
      </c>
      <c r="M71" s="6">
        <v>1</v>
      </c>
      <c r="N71" s="6">
        <v>0</v>
      </c>
      <c r="O71" s="6">
        <v>0</v>
      </c>
      <c r="P71" s="6">
        <v>0</v>
      </c>
      <c r="Q71" s="6">
        <v>1</v>
      </c>
      <c r="R71" s="6">
        <v>1</v>
      </c>
    </row>
    <row r="72" spans="1:18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1</v>
      </c>
      <c r="I72" s="6">
        <v>0</v>
      </c>
      <c r="J72" s="6">
        <v>0</v>
      </c>
      <c r="K72" s="6">
        <v>1</v>
      </c>
      <c r="L72" s="6">
        <v>1</v>
      </c>
      <c r="M72" s="6">
        <v>1</v>
      </c>
      <c r="N72" s="6">
        <v>0</v>
      </c>
      <c r="O72" s="6">
        <v>0</v>
      </c>
      <c r="P72" s="6">
        <v>0</v>
      </c>
      <c r="Q72" s="6">
        <v>1</v>
      </c>
      <c r="R72" s="6">
        <v>1</v>
      </c>
    </row>
    <row r="73" spans="1:18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2</v>
      </c>
      <c r="G73" s="6">
        <v>0</v>
      </c>
      <c r="H73" s="6">
        <v>1</v>
      </c>
      <c r="I73" s="6">
        <v>0</v>
      </c>
      <c r="J73" s="6">
        <v>0</v>
      </c>
      <c r="K73" s="6">
        <v>1</v>
      </c>
      <c r="L73" s="6">
        <v>1</v>
      </c>
      <c r="M73" s="6">
        <v>1</v>
      </c>
      <c r="N73" s="6">
        <v>0</v>
      </c>
      <c r="O73" s="6">
        <v>0</v>
      </c>
      <c r="P73" s="6">
        <v>0</v>
      </c>
      <c r="Q73" s="6">
        <v>1</v>
      </c>
      <c r="R73" s="6">
        <v>1</v>
      </c>
    </row>
    <row r="74" spans="1:18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2</v>
      </c>
      <c r="G74" s="6">
        <v>0</v>
      </c>
      <c r="H74" s="6">
        <v>1</v>
      </c>
      <c r="I74" s="6">
        <v>0</v>
      </c>
      <c r="J74" s="6">
        <v>0</v>
      </c>
      <c r="K74" s="6">
        <v>1</v>
      </c>
      <c r="L74" s="6">
        <v>1</v>
      </c>
      <c r="M74" s="6">
        <v>1</v>
      </c>
      <c r="N74" s="6">
        <v>0</v>
      </c>
      <c r="O74" s="6">
        <v>0</v>
      </c>
      <c r="P74" s="6">
        <v>0</v>
      </c>
      <c r="Q74" s="6">
        <v>1</v>
      </c>
      <c r="R74" s="6">
        <v>1</v>
      </c>
    </row>
    <row r="75" spans="1:18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1</v>
      </c>
      <c r="I75" s="6">
        <v>0</v>
      </c>
      <c r="J75" s="6">
        <v>0</v>
      </c>
      <c r="K75" s="6">
        <v>2</v>
      </c>
      <c r="L75" s="6">
        <v>2</v>
      </c>
      <c r="M75" s="6">
        <v>1</v>
      </c>
      <c r="N75" s="6">
        <v>0</v>
      </c>
      <c r="O75" s="6">
        <v>0</v>
      </c>
      <c r="P75" s="6">
        <v>0</v>
      </c>
      <c r="Q75" s="6">
        <v>1</v>
      </c>
      <c r="R75" s="6">
        <v>1</v>
      </c>
    </row>
    <row r="76" spans="1:18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1</v>
      </c>
      <c r="I76" s="6">
        <v>0</v>
      </c>
      <c r="J76" s="6">
        <v>0</v>
      </c>
      <c r="K76" s="6">
        <v>2</v>
      </c>
      <c r="L76" s="6">
        <v>2</v>
      </c>
      <c r="M76" s="6">
        <v>1</v>
      </c>
      <c r="N76" s="6">
        <v>0</v>
      </c>
      <c r="O76" s="6">
        <v>0</v>
      </c>
      <c r="P76" s="6">
        <v>0</v>
      </c>
      <c r="Q76" s="6">
        <v>1</v>
      </c>
      <c r="R76" s="6">
        <v>1</v>
      </c>
    </row>
    <row r="77" spans="1:18" ht="19.5" thickBot="1">
      <c r="A77" s="5">
        <v>0.77083333333333337</v>
      </c>
      <c r="B77" s="6">
        <v>3</v>
      </c>
      <c r="C77" s="6">
        <v>0</v>
      </c>
      <c r="D77" s="6">
        <v>1</v>
      </c>
      <c r="E77" s="6">
        <v>1</v>
      </c>
      <c r="F77" s="6">
        <v>2</v>
      </c>
      <c r="G77" s="6">
        <v>0</v>
      </c>
      <c r="H77" s="6">
        <v>1</v>
      </c>
      <c r="I77" s="6">
        <v>0</v>
      </c>
      <c r="J77" s="6">
        <v>0</v>
      </c>
      <c r="K77" s="6">
        <v>2</v>
      </c>
      <c r="L77" s="6">
        <v>2</v>
      </c>
      <c r="M77" s="6">
        <v>1</v>
      </c>
      <c r="N77" s="6">
        <v>0</v>
      </c>
      <c r="O77" s="6">
        <v>0</v>
      </c>
      <c r="P77" s="6">
        <v>0</v>
      </c>
      <c r="Q77" s="6">
        <v>1</v>
      </c>
      <c r="R77" s="6">
        <v>1</v>
      </c>
    </row>
    <row r="78" spans="1:18" ht="19.5" thickBot="1">
      <c r="A78" s="5">
        <v>0.78125</v>
      </c>
      <c r="B78" s="6">
        <v>3</v>
      </c>
      <c r="C78" s="6">
        <v>0</v>
      </c>
      <c r="D78" s="6">
        <v>0</v>
      </c>
      <c r="E78" s="6">
        <v>1</v>
      </c>
      <c r="F78" s="6">
        <v>2</v>
      </c>
      <c r="G78" s="6">
        <v>0</v>
      </c>
      <c r="H78" s="6">
        <v>1</v>
      </c>
      <c r="I78" s="6">
        <v>0</v>
      </c>
      <c r="J78" s="6">
        <v>0</v>
      </c>
      <c r="K78" s="6">
        <v>2</v>
      </c>
      <c r="L78" s="6">
        <v>2</v>
      </c>
      <c r="M78" s="6">
        <v>1</v>
      </c>
      <c r="N78" s="6">
        <v>0</v>
      </c>
      <c r="O78" s="6">
        <v>0</v>
      </c>
      <c r="P78" s="6">
        <v>0</v>
      </c>
      <c r="Q78" s="6">
        <v>1</v>
      </c>
      <c r="R78" s="6">
        <v>1</v>
      </c>
    </row>
    <row r="79" spans="1:18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1</v>
      </c>
      <c r="I79" s="6">
        <v>0</v>
      </c>
      <c r="J79" s="6">
        <v>0</v>
      </c>
      <c r="K79" s="6">
        <v>1</v>
      </c>
      <c r="L79" s="6">
        <v>1</v>
      </c>
      <c r="M79" s="6">
        <v>1</v>
      </c>
      <c r="N79" s="6">
        <v>0</v>
      </c>
      <c r="O79" s="6">
        <v>0</v>
      </c>
      <c r="P79" s="6">
        <v>0</v>
      </c>
      <c r="Q79" s="6">
        <v>1</v>
      </c>
      <c r="R79" s="6">
        <v>1</v>
      </c>
    </row>
    <row r="80" spans="1:18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1</v>
      </c>
      <c r="I80" s="6">
        <v>0</v>
      </c>
      <c r="J80" s="6">
        <v>0</v>
      </c>
      <c r="K80" s="6">
        <v>1</v>
      </c>
      <c r="L80" s="6">
        <v>1</v>
      </c>
      <c r="M80" s="6">
        <v>1</v>
      </c>
      <c r="N80" s="6">
        <v>0</v>
      </c>
      <c r="O80" s="6">
        <v>0</v>
      </c>
      <c r="P80" s="6">
        <v>0</v>
      </c>
      <c r="Q80" s="6">
        <v>1</v>
      </c>
      <c r="R80" s="6">
        <v>1</v>
      </c>
    </row>
    <row r="81" spans="1:18" ht="19.5" thickBot="1">
      <c r="A81" s="5">
        <v>0.8125</v>
      </c>
      <c r="B81" s="6">
        <v>3</v>
      </c>
      <c r="C81" s="6">
        <v>0</v>
      </c>
      <c r="D81" s="6">
        <v>0</v>
      </c>
      <c r="E81" s="6">
        <v>2</v>
      </c>
      <c r="F81" s="6">
        <v>2</v>
      </c>
      <c r="G81" s="6">
        <v>0</v>
      </c>
      <c r="H81" s="6">
        <v>1</v>
      </c>
      <c r="I81" s="6">
        <v>0</v>
      </c>
      <c r="J81" s="6">
        <v>0</v>
      </c>
      <c r="K81" s="6">
        <v>1</v>
      </c>
      <c r="L81" s="6">
        <v>1</v>
      </c>
      <c r="M81" s="6">
        <v>1</v>
      </c>
      <c r="N81" s="6">
        <v>0</v>
      </c>
      <c r="O81" s="6">
        <v>0</v>
      </c>
      <c r="P81" s="6">
        <v>0</v>
      </c>
      <c r="Q81" s="6">
        <v>1</v>
      </c>
      <c r="R81" s="6">
        <v>1</v>
      </c>
    </row>
    <row r="82" spans="1:18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2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1</v>
      </c>
      <c r="L82" s="6">
        <v>1</v>
      </c>
      <c r="M82" s="6">
        <v>1</v>
      </c>
      <c r="N82" s="6">
        <v>0</v>
      </c>
      <c r="O82" s="6">
        <v>0</v>
      </c>
      <c r="P82" s="6">
        <v>0</v>
      </c>
      <c r="Q82" s="6">
        <v>1</v>
      </c>
      <c r="R82" s="6">
        <v>1</v>
      </c>
    </row>
    <row r="83" spans="1:18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1</v>
      </c>
      <c r="L83" s="6">
        <v>1</v>
      </c>
      <c r="M83" s="6">
        <v>1</v>
      </c>
      <c r="N83" s="6">
        <v>0</v>
      </c>
      <c r="O83" s="6">
        <v>0</v>
      </c>
      <c r="P83" s="6">
        <v>0</v>
      </c>
      <c r="Q83" s="6">
        <v>1</v>
      </c>
      <c r="R83" s="6">
        <v>1</v>
      </c>
    </row>
    <row r="84" spans="1:18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1</v>
      </c>
      <c r="L84" s="6">
        <v>1</v>
      </c>
      <c r="M84" s="6">
        <v>2</v>
      </c>
      <c r="N84" s="6">
        <v>1</v>
      </c>
      <c r="O84" s="6">
        <v>0</v>
      </c>
      <c r="P84" s="6">
        <v>0</v>
      </c>
      <c r="Q84" s="6">
        <v>1</v>
      </c>
      <c r="R84" s="6">
        <v>1</v>
      </c>
    </row>
    <row r="85" spans="1:18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1</v>
      </c>
      <c r="L85" s="6">
        <v>1</v>
      </c>
      <c r="M85" s="6">
        <v>2</v>
      </c>
      <c r="N85" s="6">
        <v>1</v>
      </c>
      <c r="O85" s="6">
        <v>0</v>
      </c>
      <c r="P85" s="6">
        <v>0</v>
      </c>
      <c r="Q85" s="6">
        <v>1</v>
      </c>
      <c r="R85" s="6">
        <v>1</v>
      </c>
    </row>
    <row r="86" spans="1:18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1</v>
      </c>
      <c r="L86" s="6">
        <v>1</v>
      </c>
      <c r="M86" s="6">
        <v>2</v>
      </c>
      <c r="N86" s="6">
        <v>1</v>
      </c>
      <c r="O86" s="6">
        <v>0</v>
      </c>
      <c r="P86" s="6">
        <v>0</v>
      </c>
      <c r="Q86" s="6">
        <v>1</v>
      </c>
      <c r="R86" s="6">
        <v>1</v>
      </c>
    </row>
    <row r="87" spans="1:18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1</v>
      </c>
      <c r="L87" s="6">
        <v>1</v>
      </c>
      <c r="M87" s="6">
        <v>2</v>
      </c>
      <c r="N87" s="6">
        <v>1</v>
      </c>
      <c r="O87" s="6">
        <v>0</v>
      </c>
      <c r="P87" s="6">
        <v>0</v>
      </c>
      <c r="Q87" s="6">
        <v>1</v>
      </c>
      <c r="R87" s="6">
        <v>1</v>
      </c>
    </row>
    <row r="88" spans="1:18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1</v>
      </c>
      <c r="L88" s="6">
        <v>1</v>
      </c>
      <c r="M88" s="6">
        <v>1</v>
      </c>
      <c r="N88" s="6">
        <v>0</v>
      </c>
      <c r="O88" s="6">
        <v>0</v>
      </c>
      <c r="P88" s="6">
        <v>0</v>
      </c>
      <c r="Q88" s="6">
        <v>1</v>
      </c>
      <c r="R88" s="6">
        <v>1</v>
      </c>
    </row>
    <row r="89" spans="1:18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0</v>
      </c>
      <c r="H89" s="6">
        <v>1</v>
      </c>
      <c r="I89" s="6">
        <v>0</v>
      </c>
      <c r="J89" s="6">
        <v>0</v>
      </c>
      <c r="K89" s="6">
        <v>1</v>
      </c>
      <c r="L89" s="6">
        <v>1</v>
      </c>
      <c r="M89" s="6">
        <v>1</v>
      </c>
      <c r="N89" s="6">
        <v>0</v>
      </c>
      <c r="O89" s="6">
        <v>0</v>
      </c>
      <c r="P89" s="6">
        <v>0</v>
      </c>
      <c r="Q89" s="6">
        <v>1</v>
      </c>
      <c r="R89" s="6">
        <v>1</v>
      </c>
    </row>
    <row r="90" spans="1:18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0</v>
      </c>
      <c r="H90" s="6">
        <v>1</v>
      </c>
      <c r="I90" s="6">
        <v>0</v>
      </c>
      <c r="J90" s="6">
        <v>0</v>
      </c>
      <c r="K90" s="6">
        <v>1</v>
      </c>
      <c r="L90" s="6">
        <v>1</v>
      </c>
      <c r="M90" s="6">
        <v>1</v>
      </c>
      <c r="N90" s="6">
        <v>0</v>
      </c>
      <c r="O90" s="6">
        <v>0</v>
      </c>
      <c r="P90" s="6">
        <v>1</v>
      </c>
      <c r="Q90" s="6">
        <v>1</v>
      </c>
      <c r="R90" s="6">
        <v>1</v>
      </c>
    </row>
    <row r="91" spans="1:18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1</v>
      </c>
      <c r="H91" s="6">
        <v>1</v>
      </c>
      <c r="I91" s="6">
        <v>0</v>
      </c>
      <c r="J91" s="6">
        <v>0</v>
      </c>
      <c r="K91" s="6">
        <v>1</v>
      </c>
      <c r="L91" s="6">
        <v>1</v>
      </c>
      <c r="M91" s="6">
        <v>2</v>
      </c>
      <c r="N91" s="6">
        <v>1</v>
      </c>
      <c r="O91" s="6">
        <v>0</v>
      </c>
      <c r="P91" s="6">
        <v>0</v>
      </c>
      <c r="Q91" s="6">
        <v>1</v>
      </c>
      <c r="R91" s="6">
        <v>1</v>
      </c>
    </row>
    <row r="92" spans="1:18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1</v>
      </c>
      <c r="H92" s="6">
        <v>1</v>
      </c>
      <c r="I92" s="6">
        <v>0</v>
      </c>
      <c r="J92" s="6">
        <v>0</v>
      </c>
      <c r="K92" s="6">
        <v>1</v>
      </c>
      <c r="L92" s="6">
        <v>1</v>
      </c>
      <c r="M92" s="6">
        <v>2</v>
      </c>
      <c r="N92" s="6">
        <v>1</v>
      </c>
      <c r="O92" s="6">
        <v>0</v>
      </c>
      <c r="P92" s="6">
        <v>0</v>
      </c>
      <c r="Q92" s="6">
        <v>1</v>
      </c>
      <c r="R92" s="6">
        <v>1</v>
      </c>
    </row>
    <row r="93" spans="1:18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1</v>
      </c>
      <c r="H93" s="6">
        <v>1</v>
      </c>
      <c r="I93" s="6">
        <v>0</v>
      </c>
      <c r="J93" s="6">
        <v>0</v>
      </c>
      <c r="K93" s="6">
        <v>1</v>
      </c>
      <c r="L93" s="6">
        <v>1</v>
      </c>
      <c r="M93" s="6">
        <v>2</v>
      </c>
      <c r="N93" s="6">
        <v>1</v>
      </c>
      <c r="O93" s="6">
        <v>0</v>
      </c>
      <c r="P93" s="6">
        <v>0</v>
      </c>
      <c r="Q93" s="6">
        <v>1</v>
      </c>
      <c r="R93" s="6">
        <v>1</v>
      </c>
    </row>
    <row r="94" spans="1:18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1</v>
      </c>
      <c r="H94" s="6">
        <v>1</v>
      </c>
      <c r="I94" s="6">
        <v>0</v>
      </c>
      <c r="J94" s="6">
        <v>0</v>
      </c>
      <c r="K94" s="6">
        <v>1</v>
      </c>
      <c r="L94" s="6">
        <v>1</v>
      </c>
      <c r="M94" s="6">
        <v>1</v>
      </c>
      <c r="N94" s="6">
        <v>1</v>
      </c>
      <c r="O94" s="6">
        <v>0</v>
      </c>
      <c r="P94" s="6">
        <v>0</v>
      </c>
      <c r="Q94" s="6">
        <v>1</v>
      </c>
      <c r="R94" s="6">
        <v>1</v>
      </c>
    </row>
    <row r="95" spans="1:18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1</v>
      </c>
      <c r="M95" s="6">
        <v>1</v>
      </c>
      <c r="N95" s="6">
        <v>1</v>
      </c>
      <c r="O95" s="6">
        <v>0</v>
      </c>
      <c r="P95" s="6">
        <v>1</v>
      </c>
      <c r="Q95" s="6">
        <v>1</v>
      </c>
      <c r="R95" s="6">
        <v>1</v>
      </c>
    </row>
    <row r="96" spans="1:18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1</v>
      </c>
      <c r="M96" s="6">
        <v>1</v>
      </c>
      <c r="N96" s="6">
        <v>0</v>
      </c>
      <c r="O96" s="6">
        <v>0</v>
      </c>
      <c r="P96" s="6">
        <v>0</v>
      </c>
      <c r="Q96" s="6">
        <v>1</v>
      </c>
      <c r="R96" s="6">
        <v>1</v>
      </c>
    </row>
    <row r="97" spans="1:18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1</v>
      </c>
      <c r="M97" s="6">
        <v>1</v>
      </c>
      <c r="N97" s="6">
        <v>0</v>
      </c>
      <c r="O97" s="6">
        <v>0</v>
      </c>
      <c r="P97" s="6">
        <v>0</v>
      </c>
      <c r="Q97" s="6">
        <v>1</v>
      </c>
      <c r="R97" s="6">
        <v>1</v>
      </c>
    </row>
    <row r="98" spans="1:18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1</v>
      </c>
      <c r="M98" s="6">
        <v>1</v>
      </c>
      <c r="N98" s="6">
        <v>0</v>
      </c>
      <c r="O98" s="6">
        <v>0</v>
      </c>
      <c r="P98" s="6">
        <v>0</v>
      </c>
      <c r="Q98" s="6">
        <v>1</v>
      </c>
      <c r="R98" s="6">
        <v>1</v>
      </c>
    </row>
  </sheetData>
  <mergeCells count="6">
    <mergeCell ref="B1:E1"/>
    <mergeCell ref="F1:I1"/>
    <mergeCell ref="K1:L1"/>
    <mergeCell ref="M1:N1"/>
    <mergeCell ref="O1:P1"/>
    <mergeCell ref="Q1:R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49885-B8DA-4663-9743-0BB3C2E0C7CD}">
  <sheetPr codeName="Sheet4">
    <tabColor rgb="FFFFFFCC"/>
  </sheetPr>
  <dimension ref="A1:R98"/>
  <sheetViews>
    <sheetView workbookViewId="0">
      <selection activeCell="P29" sqref="P29"/>
    </sheetView>
  </sheetViews>
  <sheetFormatPr defaultRowHeight="18.75"/>
  <sheetData>
    <row r="1" spans="1:18" ht="19.5" thickBot="1">
      <c r="A1" s="1" t="s">
        <v>19</v>
      </c>
      <c r="B1" s="8" t="s">
        <v>20</v>
      </c>
      <c r="C1" s="7"/>
      <c r="D1" s="7"/>
      <c r="E1" s="9"/>
      <c r="F1" s="8" t="s">
        <v>21</v>
      </c>
      <c r="G1" s="7"/>
      <c r="H1" s="7"/>
      <c r="I1" s="9"/>
      <c r="J1" s="2" t="s">
        <v>22</v>
      </c>
      <c r="K1" s="8" t="s">
        <v>23</v>
      </c>
      <c r="L1" s="9"/>
      <c r="M1" s="8" t="s">
        <v>24</v>
      </c>
      <c r="N1" s="9"/>
      <c r="O1" s="8" t="s">
        <v>25</v>
      </c>
      <c r="P1" s="9"/>
      <c r="Q1" s="8" t="s">
        <v>26</v>
      </c>
      <c r="R1" s="9"/>
    </row>
    <row r="2" spans="1:18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37</v>
      </c>
      <c r="L2" s="4" t="s">
        <v>38</v>
      </c>
      <c r="M2" s="4" t="s">
        <v>39</v>
      </c>
      <c r="N2" s="4" t="s">
        <v>40</v>
      </c>
      <c r="O2" s="4" t="s">
        <v>41</v>
      </c>
      <c r="P2" s="4" t="s">
        <v>42</v>
      </c>
      <c r="Q2" s="4" t="s">
        <v>43</v>
      </c>
      <c r="R2" s="4" t="s">
        <v>43</v>
      </c>
    </row>
    <row r="3" spans="1:18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1</v>
      </c>
      <c r="M3" s="6">
        <v>1</v>
      </c>
      <c r="N3" s="6">
        <v>0</v>
      </c>
      <c r="O3" s="6">
        <v>0</v>
      </c>
      <c r="P3" s="6">
        <v>0</v>
      </c>
      <c r="Q3" s="6">
        <v>1</v>
      </c>
      <c r="R3" s="6">
        <v>1</v>
      </c>
    </row>
    <row r="4" spans="1:18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1</v>
      </c>
      <c r="M4" s="6">
        <v>1</v>
      </c>
      <c r="N4" s="6">
        <v>0</v>
      </c>
      <c r="O4" s="6">
        <v>0</v>
      </c>
      <c r="P4" s="6">
        <v>0</v>
      </c>
      <c r="Q4" s="6">
        <v>1</v>
      </c>
      <c r="R4" s="6">
        <v>1</v>
      </c>
    </row>
    <row r="5" spans="1:18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1</v>
      </c>
      <c r="M5" s="6">
        <v>1</v>
      </c>
      <c r="N5" s="6">
        <v>0</v>
      </c>
      <c r="O5" s="6">
        <v>0</v>
      </c>
      <c r="P5" s="6">
        <v>0</v>
      </c>
      <c r="Q5" s="6">
        <v>1</v>
      </c>
      <c r="R5" s="6">
        <v>1</v>
      </c>
    </row>
    <row r="6" spans="1:18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1</v>
      </c>
      <c r="M6" s="6">
        <v>1</v>
      </c>
      <c r="N6" s="6">
        <v>0</v>
      </c>
      <c r="O6" s="6">
        <v>0</v>
      </c>
      <c r="P6" s="6">
        <v>0</v>
      </c>
      <c r="Q6" s="6">
        <v>1</v>
      </c>
      <c r="R6" s="6">
        <v>1</v>
      </c>
    </row>
    <row r="7" spans="1:18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1</v>
      </c>
      <c r="M7" s="6">
        <v>1</v>
      </c>
      <c r="N7" s="6">
        <v>0</v>
      </c>
      <c r="O7" s="6">
        <v>0</v>
      </c>
      <c r="P7" s="6">
        <v>0</v>
      </c>
      <c r="Q7" s="6">
        <v>1</v>
      </c>
      <c r="R7" s="6">
        <v>1</v>
      </c>
    </row>
    <row r="8" spans="1:18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1</v>
      </c>
      <c r="M8" s="6">
        <v>1</v>
      </c>
      <c r="N8" s="6">
        <v>0</v>
      </c>
      <c r="O8" s="6">
        <v>0</v>
      </c>
      <c r="P8" s="6">
        <v>0</v>
      </c>
      <c r="Q8" s="6">
        <v>1</v>
      </c>
      <c r="R8" s="6">
        <v>1</v>
      </c>
    </row>
    <row r="9" spans="1:18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1</v>
      </c>
      <c r="M9" s="6">
        <v>1</v>
      </c>
      <c r="N9" s="6">
        <v>0</v>
      </c>
      <c r="O9" s="6">
        <v>0</v>
      </c>
      <c r="P9" s="6">
        <v>0</v>
      </c>
      <c r="Q9" s="6">
        <v>1</v>
      </c>
      <c r="R9" s="6">
        <v>1</v>
      </c>
    </row>
    <row r="10" spans="1:18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1</v>
      </c>
      <c r="M10" s="6">
        <v>1</v>
      </c>
      <c r="N10" s="6">
        <v>0</v>
      </c>
      <c r="O10" s="6">
        <v>0</v>
      </c>
      <c r="P10" s="6">
        <v>0</v>
      </c>
      <c r="Q10" s="6">
        <v>1</v>
      </c>
      <c r="R10" s="6">
        <v>1</v>
      </c>
    </row>
    <row r="11" spans="1:18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1</v>
      </c>
      <c r="M11" s="6">
        <v>1</v>
      </c>
      <c r="N11" s="6">
        <v>0</v>
      </c>
      <c r="O11" s="6">
        <v>0</v>
      </c>
      <c r="P11" s="6">
        <v>0</v>
      </c>
      <c r="Q11" s="6">
        <v>1</v>
      </c>
      <c r="R11" s="6">
        <v>1</v>
      </c>
    </row>
    <row r="12" spans="1:18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1</v>
      </c>
      <c r="M12" s="6">
        <v>1</v>
      </c>
      <c r="N12" s="6">
        <v>0</v>
      </c>
      <c r="O12" s="6">
        <v>0</v>
      </c>
      <c r="P12" s="6">
        <v>0</v>
      </c>
      <c r="Q12" s="6">
        <v>1</v>
      </c>
      <c r="R12" s="6">
        <v>1</v>
      </c>
    </row>
    <row r="13" spans="1:18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1</v>
      </c>
      <c r="M13" s="6">
        <v>1</v>
      </c>
      <c r="N13" s="6">
        <v>0</v>
      </c>
      <c r="O13" s="6">
        <v>0</v>
      </c>
      <c r="P13" s="6">
        <v>0</v>
      </c>
      <c r="Q13" s="6">
        <v>1</v>
      </c>
      <c r="R13" s="6">
        <v>1</v>
      </c>
    </row>
    <row r="14" spans="1:18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1</v>
      </c>
      <c r="M14" s="6">
        <v>1</v>
      </c>
      <c r="N14" s="6">
        <v>0</v>
      </c>
      <c r="O14" s="6">
        <v>0</v>
      </c>
      <c r="P14" s="6">
        <v>0</v>
      </c>
      <c r="Q14" s="6">
        <v>1</v>
      </c>
      <c r="R14" s="6">
        <v>1</v>
      </c>
    </row>
    <row r="15" spans="1:18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1</v>
      </c>
      <c r="M15" s="6">
        <v>1</v>
      </c>
      <c r="N15" s="6">
        <v>0</v>
      </c>
      <c r="O15" s="6">
        <v>0</v>
      </c>
      <c r="P15" s="6">
        <v>0</v>
      </c>
      <c r="Q15" s="6">
        <v>1</v>
      </c>
      <c r="R15" s="6">
        <v>1</v>
      </c>
    </row>
    <row r="16" spans="1:18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1</v>
      </c>
      <c r="M16" s="6">
        <v>1</v>
      </c>
      <c r="N16" s="6">
        <v>0</v>
      </c>
      <c r="O16" s="6">
        <v>0</v>
      </c>
      <c r="P16" s="6">
        <v>0</v>
      </c>
      <c r="Q16" s="6">
        <v>1</v>
      </c>
      <c r="R16" s="6">
        <v>1</v>
      </c>
    </row>
    <row r="17" spans="1:18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1</v>
      </c>
      <c r="M17" s="6">
        <v>1</v>
      </c>
      <c r="N17" s="6">
        <v>0</v>
      </c>
      <c r="O17" s="6">
        <v>0</v>
      </c>
      <c r="P17" s="6">
        <v>0</v>
      </c>
      <c r="Q17" s="6">
        <v>1</v>
      </c>
      <c r="R17" s="6">
        <v>1</v>
      </c>
    </row>
    <row r="18" spans="1:18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1</v>
      </c>
      <c r="M18" s="6">
        <v>1</v>
      </c>
      <c r="N18" s="6">
        <v>0</v>
      </c>
      <c r="O18" s="6">
        <v>0</v>
      </c>
      <c r="P18" s="6">
        <v>0</v>
      </c>
      <c r="Q18" s="6">
        <v>1</v>
      </c>
      <c r="R18" s="6">
        <v>1</v>
      </c>
    </row>
    <row r="19" spans="1:18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1</v>
      </c>
      <c r="M19" s="6">
        <v>1</v>
      </c>
      <c r="N19" s="6">
        <v>0</v>
      </c>
      <c r="O19" s="6">
        <v>0</v>
      </c>
      <c r="P19" s="6">
        <v>0</v>
      </c>
      <c r="Q19" s="6">
        <v>1</v>
      </c>
      <c r="R19" s="6">
        <v>1</v>
      </c>
    </row>
    <row r="20" spans="1:18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1</v>
      </c>
      <c r="M20" s="6">
        <v>1</v>
      </c>
      <c r="N20" s="6">
        <v>0</v>
      </c>
      <c r="O20" s="6">
        <v>0</v>
      </c>
      <c r="P20" s="6">
        <v>0</v>
      </c>
      <c r="Q20" s="6">
        <v>1</v>
      </c>
      <c r="R20" s="6">
        <v>1</v>
      </c>
    </row>
    <row r="21" spans="1:18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1</v>
      </c>
      <c r="M21" s="6">
        <v>1</v>
      </c>
      <c r="N21" s="6">
        <v>0</v>
      </c>
      <c r="O21" s="6">
        <v>0</v>
      </c>
      <c r="P21" s="6">
        <v>0</v>
      </c>
      <c r="Q21" s="6">
        <v>1</v>
      </c>
      <c r="R21" s="6">
        <v>1</v>
      </c>
    </row>
    <row r="22" spans="1:18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1</v>
      </c>
      <c r="M22" s="6">
        <v>1</v>
      </c>
      <c r="N22" s="6">
        <v>0</v>
      </c>
      <c r="O22" s="6">
        <v>0</v>
      </c>
      <c r="P22" s="6">
        <v>0</v>
      </c>
      <c r="Q22" s="6">
        <v>1</v>
      </c>
      <c r="R22" s="6">
        <v>1</v>
      </c>
    </row>
    <row r="23" spans="1:18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1</v>
      </c>
      <c r="M23" s="6">
        <v>1</v>
      </c>
      <c r="N23" s="6">
        <v>0</v>
      </c>
      <c r="O23" s="6">
        <v>0</v>
      </c>
      <c r="P23" s="6">
        <v>0</v>
      </c>
      <c r="Q23" s="6">
        <v>1</v>
      </c>
      <c r="R23" s="6">
        <v>1</v>
      </c>
    </row>
    <row r="24" spans="1:18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1</v>
      </c>
      <c r="M24" s="6">
        <v>1</v>
      </c>
      <c r="N24" s="6">
        <v>0</v>
      </c>
      <c r="O24" s="6">
        <v>0</v>
      </c>
      <c r="P24" s="6">
        <v>0</v>
      </c>
      <c r="Q24" s="6">
        <v>1</v>
      </c>
      <c r="R24" s="6">
        <v>1</v>
      </c>
    </row>
    <row r="25" spans="1:18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1</v>
      </c>
      <c r="M25" s="6">
        <v>1</v>
      </c>
      <c r="N25" s="6">
        <v>0</v>
      </c>
      <c r="O25" s="6">
        <v>0</v>
      </c>
      <c r="P25" s="6">
        <v>0</v>
      </c>
      <c r="Q25" s="6">
        <v>1</v>
      </c>
      <c r="R25" s="6">
        <v>1</v>
      </c>
    </row>
    <row r="26" spans="1:18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1</v>
      </c>
      <c r="M26" s="6">
        <v>1</v>
      </c>
      <c r="N26" s="6">
        <v>0</v>
      </c>
      <c r="O26" s="6">
        <v>0</v>
      </c>
      <c r="P26" s="6">
        <v>0</v>
      </c>
      <c r="Q26" s="6">
        <v>1</v>
      </c>
      <c r="R26" s="6">
        <v>1</v>
      </c>
    </row>
    <row r="27" spans="1:18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1</v>
      </c>
      <c r="M27" s="6">
        <v>1</v>
      </c>
      <c r="N27" s="6">
        <v>0</v>
      </c>
      <c r="O27" s="6">
        <v>0</v>
      </c>
      <c r="P27" s="6">
        <v>0</v>
      </c>
      <c r="Q27" s="6">
        <v>1</v>
      </c>
      <c r="R27" s="6">
        <v>1</v>
      </c>
    </row>
    <row r="28" spans="1:18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1</v>
      </c>
      <c r="M28" s="6">
        <v>1</v>
      </c>
      <c r="N28" s="6">
        <v>0</v>
      </c>
      <c r="O28" s="6">
        <v>0</v>
      </c>
      <c r="P28" s="6">
        <v>0</v>
      </c>
      <c r="Q28" s="6">
        <v>1</v>
      </c>
      <c r="R28" s="6">
        <v>1</v>
      </c>
    </row>
    <row r="29" spans="1:18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1</v>
      </c>
      <c r="M29" s="6">
        <v>1</v>
      </c>
      <c r="N29" s="6">
        <v>0</v>
      </c>
      <c r="O29" s="6">
        <v>0</v>
      </c>
      <c r="P29" s="6">
        <v>0</v>
      </c>
      <c r="Q29" s="6">
        <v>1</v>
      </c>
      <c r="R29" s="6">
        <v>1</v>
      </c>
    </row>
    <row r="30" spans="1:18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1</v>
      </c>
      <c r="M30" s="6">
        <v>1</v>
      </c>
      <c r="N30" s="6">
        <v>0</v>
      </c>
      <c r="O30" s="6">
        <v>0</v>
      </c>
      <c r="P30" s="6">
        <v>0</v>
      </c>
      <c r="Q30" s="6">
        <v>1</v>
      </c>
      <c r="R30" s="6">
        <v>1</v>
      </c>
    </row>
    <row r="31" spans="1:18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1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1</v>
      </c>
      <c r="M31" s="6">
        <v>1</v>
      </c>
      <c r="N31" s="6">
        <v>0</v>
      </c>
      <c r="O31" s="6">
        <v>0</v>
      </c>
      <c r="P31" s="6">
        <v>0</v>
      </c>
      <c r="Q31" s="6">
        <v>1</v>
      </c>
      <c r="R31" s="6">
        <v>1</v>
      </c>
    </row>
    <row r="32" spans="1:18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1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1</v>
      </c>
      <c r="M32" s="6">
        <v>1</v>
      </c>
      <c r="N32" s="6">
        <v>0</v>
      </c>
      <c r="O32" s="6">
        <v>0</v>
      </c>
      <c r="P32" s="6">
        <v>1</v>
      </c>
      <c r="Q32" s="6">
        <v>1</v>
      </c>
      <c r="R32" s="6">
        <v>1</v>
      </c>
    </row>
    <row r="33" spans="1:18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1</v>
      </c>
      <c r="G33" s="6">
        <v>0</v>
      </c>
      <c r="H33" s="6">
        <v>1</v>
      </c>
      <c r="I33" s="6">
        <v>0</v>
      </c>
      <c r="J33" s="6">
        <v>0</v>
      </c>
      <c r="K33" s="6">
        <v>1</v>
      </c>
      <c r="L33" s="6">
        <v>1</v>
      </c>
      <c r="M33" s="6">
        <v>1</v>
      </c>
      <c r="N33" s="6">
        <v>0</v>
      </c>
      <c r="O33" s="6">
        <v>0</v>
      </c>
      <c r="P33" s="6">
        <v>0</v>
      </c>
      <c r="Q33" s="6">
        <v>1</v>
      </c>
      <c r="R33" s="6">
        <v>1</v>
      </c>
    </row>
    <row r="34" spans="1:18" ht="19.5" thickBot="1">
      <c r="A34" s="5">
        <v>0.32291666666666669</v>
      </c>
      <c r="B34" s="6">
        <v>2</v>
      </c>
      <c r="C34" s="6">
        <v>1</v>
      </c>
      <c r="D34" s="6">
        <v>0</v>
      </c>
      <c r="E34" s="6">
        <v>0</v>
      </c>
      <c r="F34" s="6">
        <v>1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1</v>
      </c>
      <c r="M34" s="6">
        <v>1</v>
      </c>
      <c r="N34" s="6">
        <v>0</v>
      </c>
      <c r="O34" s="6">
        <v>0</v>
      </c>
      <c r="P34" s="6">
        <v>0</v>
      </c>
      <c r="Q34" s="6">
        <v>1</v>
      </c>
      <c r="R34" s="6">
        <v>1</v>
      </c>
    </row>
    <row r="35" spans="1:18" ht="19.5" thickBot="1">
      <c r="A35" s="5">
        <v>0.33333333333333331</v>
      </c>
      <c r="B35" s="6">
        <v>3</v>
      </c>
      <c r="C35" s="6">
        <v>0</v>
      </c>
      <c r="D35" s="6">
        <v>1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1</v>
      </c>
      <c r="M35" s="6">
        <v>1</v>
      </c>
      <c r="N35" s="6">
        <v>0</v>
      </c>
      <c r="O35" s="6">
        <v>0</v>
      </c>
      <c r="P35" s="6">
        <v>0</v>
      </c>
      <c r="Q35" s="6">
        <v>1</v>
      </c>
      <c r="R35" s="6">
        <v>1</v>
      </c>
    </row>
    <row r="36" spans="1:18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1</v>
      </c>
      <c r="M36" s="6">
        <v>1</v>
      </c>
      <c r="N36" s="6">
        <v>0</v>
      </c>
      <c r="O36" s="6">
        <v>1</v>
      </c>
      <c r="P36" s="6">
        <v>0</v>
      </c>
      <c r="Q36" s="6">
        <v>1</v>
      </c>
      <c r="R36" s="6">
        <v>1</v>
      </c>
    </row>
    <row r="37" spans="1:18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1</v>
      </c>
      <c r="M37" s="6">
        <v>1</v>
      </c>
      <c r="N37" s="6">
        <v>0</v>
      </c>
      <c r="O37" s="6">
        <v>1</v>
      </c>
      <c r="P37" s="6">
        <v>1</v>
      </c>
      <c r="Q37" s="6">
        <v>1</v>
      </c>
      <c r="R37" s="6">
        <v>1</v>
      </c>
    </row>
    <row r="38" spans="1:18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1</v>
      </c>
      <c r="M38" s="6">
        <v>1</v>
      </c>
      <c r="N38" s="6">
        <v>0</v>
      </c>
      <c r="O38" s="6">
        <v>1</v>
      </c>
      <c r="P38" s="6">
        <v>0</v>
      </c>
      <c r="Q38" s="6">
        <v>1</v>
      </c>
      <c r="R38" s="6">
        <v>1</v>
      </c>
    </row>
    <row r="39" spans="1:18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0</v>
      </c>
      <c r="J39" s="6">
        <v>0</v>
      </c>
      <c r="K39" s="6">
        <v>1</v>
      </c>
      <c r="L39" s="6">
        <v>1</v>
      </c>
      <c r="M39" s="6">
        <v>1</v>
      </c>
      <c r="N39" s="6">
        <v>0</v>
      </c>
      <c r="O39" s="6">
        <v>0</v>
      </c>
      <c r="P39" s="6">
        <v>0</v>
      </c>
      <c r="Q39" s="6">
        <v>1</v>
      </c>
      <c r="R39" s="6">
        <v>1</v>
      </c>
    </row>
    <row r="40" spans="1:18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1</v>
      </c>
      <c r="J40" s="6">
        <v>0</v>
      </c>
      <c r="K40" s="6">
        <v>1</v>
      </c>
      <c r="L40" s="6">
        <v>1</v>
      </c>
      <c r="M40" s="6">
        <v>1</v>
      </c>
      <c r="N40" s="6">
        <v>1</v>
      </c>
      <c r="O40" s="6">
        <v>0</v>
      </c>
      <c r="P40" s="6">
        <v>0</v>
      </c>
      <c r="Q40" s="6">
        <v>1</v>
      </c>
      <c r="R40" s="6">
        <v>1</v>
      </c>
    </row>
    <row r="41" spans="1:18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1</v>
      </c>
      <c r="M41" s="6">
        <v>1</v>
      </c>
      <c r="N41" s="6">
        <v>1</v>
      </c>
      <c r="O41" s="6">
        <v>0</v>
      </c>
      <c r="P41" s="6">
        <v>0</v>
      </c>
      <c r="Q41" s="6">
        <v>1</v>
      </c>
      <c r="R41" s="6">
        <v>1</v>
      </c>
    </row>
    <row r="42" spans="1:18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0</v>
      </c>
      <c r="K42" s="6">
        <v>1</v>
      </c>
      <c r="L42" s="6">
        <v>1</v>
      </c>
      <c r="M42" s="6">
        <v>1</v>
      </c>
      <c r="N42" s="6">
        <v>1</v>
      </c>
      <c r="O42" s="6">
        <v>0</v>
      </c>
      <c r="P42" s="6">
        <v>0</v>
      </c>
      <c r="Q42" s="6">
        <v>1</v>
      </c>
      <c r="R42" s="6">
        <v>1</v>
      </c>
    </row>
    <row r="43" spans="1:18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2</v>
      </c>
      <c r="G43" s="6">
        <v>1</v>
      </c>
      <c r="H43" s="6">
        <v>1</v>
      </c>
      <c r="I43" s="6">
        <v>0</v>
      </c>
      <c r="J43" s="6">
        <v>0</v>
      </c>
      <c r="K43" s="6">
        <v>1</v>
      </c>
      <c r="L43" s="6">
        <v>1</v>
      </c>
      <c r="M43" s="6">
        <v>2</v>
      </c>
      <c r="N43" s="6">
        <v>1</v>
      </c>
      <c r="O43" s="6">
        <v>0</v>
      </c>
      <c r="P43" s="6">
        <v>0</v>
      </c>
      <c r="Q43" s="6">
        <v>1</v>
      </c>
      <c r="R43" s="6">
        <v>1</v>
      </c>
    </row>
    <row r="44" spans="1:18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2</v>
      </c>
      <c r="G44" s="6">
        <v>1</v>
      </c>
      <c r="H44" s="6">
        <v>1</v>
      </c>
      <c r="I44" s="6">
        <v>0</v>
      </c>
      <c r="J44" s="6">
        <v>0</v>
      </c>
      <c r="K44" s="6">
        <v>1</v>
      </c>
      <c r="L44" s="6">
        <v>1</v>
      </c>
      <c r="M44" s="6">
        <v>2</v>
      </c>
      <c r="N44" s="6">
        <v>1</v>
      </c>
      <c r="O44" s="6">
        <v>0</v>
      </c>
      <c r="P44" s="6">
        <v>0</v>
      </c>
      <c r="Q44" s="6">
        <v>1</v>
      </c>
      <c r="R44" s="6">
        <v>1</v>
      </c>
    </row>
    <row r="45" spans="1:18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2</v>
      </c>
      <c r="G45" s="6">
        <v>1</v>
      </c>
      <c r="H45" s="6">
        <v>1</v>
      </c>
      <c r="I45" s="6">
        <v>0</v>
      </c>
      <c r="J45" s="6">
        <v>0</v>
      </c>
      <c r="K45" s="6">
        <v>1</v>
      </c>
      <c r="L45" s="6">
        <v>1</v>
      </c>
      <c r="M45" s="6">
        <v>1</v>
      </c>
      <c r="N45" s="6">
        <v>1</v>
      </c>
      <c r="O45" s="6">
        <v>0</v>
      </c>
      <c r="P45" s="6">
        <v>0</v>
      </c>
      <c r="Q45" s="6">
        <v>1</v>
      </c>
      <c r="R45" s="6">
        <v>1</v>
      </c>
    </row>
    <row r="46" spans="1:18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2</v>
      </c>
      <c r="G46" s="6">
        <v>1</v>
      </c>
      <c r="H46" s="6">
        <v>1</v>
      </c>
      <c r="I46" s="6">
        <v>0</v>
      </c>
      <c r="J46" s="6">
        <v>0</v>
      </c>
      <c r="K46" s="6">
        <v>1</v>
      </c>
      <c r="L46" s="6">
        <v>1</v>
      </c>
      <c r="M46" s="6">
        <v>1</v>
      </c>
      <c r="N46" s="6">
        <v>1</v>
      </c>
      <c r="O46" s="6">
        <v>0</v>
      </c>
      <c r="P46" s="6">
        <v>0</v>
      </c>
      <c r="Q46" s="6">
        <v>1</v>
      </c>
      <c r="R46" s="6">
        <v>1</v>
      </c>
    </row>
    <row r="47" spans="1:18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2</v>
      </c>
      <c r="G47" s="6">
        <v>1</v>
      </c>
      <c r="H47" s="6">
        <v>1</v>
      </c>
      <c r="I47" s="6">
        <v>0</v>
      </c>
      <c r="J47" s="6">
        <v>0</v>
      </c>
      <c r="K47" s="6">
        <v>1</v>
      </c>
      <c r="L47" s="6">
        <v>1</v>
      </c>
      <c r="M47" s="6">
        <v>1</v>
      </c>
      <c r="N47" s="6">
        <v>1</v>
      </c>
      <c r="O47" s="6">
        <v>0</v>
      </c>
      <c r="P47" s="6">
        <v>0</v>
      </c>
      <c r="Q47" s="6">
        <v>1</v>
      </c>
      <c r="R47" s="6">
        <v>1</v>
      </c>
    </row>
    <row r="48" spans="1:18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2</v>
      </c>
      <c r="G48" s="6">
        <v>1</v>
      </c>
      <c r="H48" s="6">
        <v>1</v>
      </c>
      <c r="I48" s="6">
        <v>0</v>
      </c>
      <c r="J48" s="6">
        <v>0</v>
      </c>
      <c r="K48" s="6">
        <v>1</v>
      </c>
      <c r="L48" s="6">
        <v>1</v>
      </c>
      <c r="M48" s="6">
        <v>1</v>
      </c>
      <c r="N48" s="6">
        <v>1</v>
      </c>
      <c r="O48" s="6">
        <v>0</v>
      </c>
      <c r="P48" s="6">
        <v>0</v>
      </c>
      <c r="Q48" s="6">
        <v>1</v>
      </c>
      <c r="R48" s="6">
        <v>1</v>
      </c>
    </row>
    <row r="49" spans="1:18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2</v>
      </c>
      <c r="G49" s="6">
        <v>1</v>
      </c>
      <c r="H49" s="6">
        <v>1</v>
      </c>
      <c r="I49" s="6">
        <v>0</v>
      </c>
      <c r="J49" s="6">
        <v>0</v>
      </c>
      <c r="K49" s="6">
        <v>1</v>
      </c>
      <c r="L49" s="6">
        <v>1</v>
      </c>
      <c r="M49" s="6">
        <v>1</v>
      </c>
      <c r="N49" s="6">
        <v>1</v>
      </c>
      <c r="O49" s="6">
        <v>0</v>
      </c>
      <c r="P49" s="6">
        <v>0</v>
      </c>
      <c r="Q49" s="6">
        <v>1</v>
      </c>
      <c r="R49" s="6">
        <v>1</v>
      </c>
    </row>
    <row r="50" spans="1:18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2</v>
      </c>
      <c r="G50" s="6">
        <v>1</v>
      </c>
      <c r="H50" s="6">
        <v>1</v>
      </c>
      <c r="I50" s="6">
        <v>0</v>
      </c>
      <c r="J50" s="6">
        <v>0</v>
      </c>
      <c r="K50" s="6">
        <v>1</v>
      </c>
      <c r="L50" s="6">
        <v>1</v>
      </c>
      <c r="M50" s="6">
        <v>1</v>
      </c>
      <c r="N50" s="6">
        <v>1</v>
      </c>
      <c r="O50" s="6">
        <v>0</v>
      </c>
      <c r="P50" s="6">
        <v>0</v>
      </c>
      <c r="Q50" s="6">
        <v>1</v>
      </c>
      <c r="R50" s="6">
        <v>1</v>
      </c>
    </row>
    <row r="51" spans="1:18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1</v>
      </c>
      <c r="M51" s="6">
        <v>1</v>
      </c>
      <c r="N51" s="6">
        <v>0</v>
      </c>
      <c r="O51" s="6">
        <v>0</v>
      </c>
      <c r="P51" s="6">
        <v>0</v>
      </c>
      <c r="Q51" s="6">
        <v>1</v>
      </c>
      <c r="R51" s="6">
        <v>1</v>
      </c>
    </row>
    <row r="52" spans="1:18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1</v>
      </c>
      <c r="M52" s="6">
        <v>1</v>
      </c>
      <c r="N52" s="6">
        <v>0</v>
      </c>
      <c r="O52" s="6">
        <v>0</v>
      </c>
      <c r="P52" s="6">
        <v>0</v>
      </c>
      <c r="Q52" s="6">
        <v>1</v>
      </c>
      <c r="R52" s="6">
        <v>1</v>
      </c>
    </row>
    <row r="53" spans="1:18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1</v>
      </c>
      <c r="M53" s="6">
        <v>1</v>
      </c>
      <c r="N53" s="6">
        <v>0</v>
      </c>
      <c r="O53" s="6">
        <v>0</v>
      </c>
      <c r="P53" s="6">
        <v>0</v>
      </c>
      <c r="Q53" s="6">
        <v>1</v>
      </c>
      <c r="R53" s="6">
        <v>1</v>
      </c>
    </row>
    <row r="54" spans="1:18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1</v>
      </c>
      <c r="M54" s="6">
        <v>1</v>
      </c>
      <c r="N54" s="6">
        <v>0</v>
      </c>
      <c r="O54" s="6">
        <v>0</v>
      </c>
      <c r="P54" s="6">
        <v>0</v>
      </c>
      <c r="Q54" s="6">
        <v>1</v>
      </c>
      <c r="R54" s="6">
        <v>1</v>
      </c>
    </row>
    <row r="55" spans="1:18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1</v>
      </c>
      <c r="M55" s="6">
        <v>1</v>
      </c>
      <c r="N55" s="6">
        <v>0</v>
      </c>
      <c r="O55" s="6">
        <v>0</v>
      </c>
      <c r="P55" s="6">
        <v>0</v>
      </c>
      <c r="Q55" s="6">
        <v>1</v>
      </c>
      <c r="R55" s="6">
        <v>1</v>
      </c>
    </row>
    <row r="56" spans="1:18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1</v>
      </c>
      <c r="M56" s="6">
        <v>1</v>
      </c>
      <c r="N56" s="6">
        <v>0</v>
      </c>
      <c r="O56" s="6">
        <v>0</v>
      </c>
      <c r="P56" s="6">
        <v>0</v>
      </c>
      <c r="Q56" s="6">
        <v>1</v>
      </c>
      <c r="R56" s="6">
        <v>1</v>
      </c>
    </row>
    <row r="57" spans="1:18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1</v>
      </c>
      <c r="M57" s="6">
        <v>1</v>
      </c>
      <c r="N57" s="6">
        <v>0</v>
      </c>
      <c r="O57" s="6">
        <v>0</v>
      </c>
      <c r="P57" s="6">
        <v>0</v>
      </c>
      <c r="Q57" s="6">
        <v>1</v>
      </c>
      <c r="R57" s="6">
        <v>1</v>
      </c>
    </row>
    <row r="58" spans="1:18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1</v>
      </c>
      <c r="M58" s="6">
        <v>1</v>
      </c>
      <c r="N58" s="6">
        <v>0</v>
      </c>
      <c r="O58" s="6">
        <v>0</v>
      </c>
      <c r="P58" s="6">
        <v>0</v>
      </c>
      <c r="Q58" s="6">
        <v>1</v>
      </c>
      <c r="R58" s="6">
        <v>1</v>
      </c>
    </row>
    <row r="59" spans="1:18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1</v>
      </c>
      <c r="M59" s="6">
        <v>1</v>
      </c>
      <c r="N59" s="6">
        <v>0</v>
      </c>
      <c r="O59" s="6">
        <v>0</v>
      </c>
      <c r="P59" s="6">
        <v>0</v>
      </c>
      <c r="Q59" s="6">
        <v>1</v>
      </c>
      <c r="R59" s="6">
        <v>1</v>
      </c>
    </row>
    <row r="60" spans="1:18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1</v>
      </c>
      <c r="M60" s="6">
        <v>1</v>
      </c>
      <c r="N60" s="6">
        <v>0</v>
      </c>
      <c r="O60" s="6">
        <v>0</v>
      </c>
      <c r="P60" s="6">
        <v>0</v>
      </c>
      <c r="Q60" s="6">
        <v>1</v>
      </c>
      <c r="R60" s="6">
        <v>1</v>
      </c>
    </row>
    <row r="61" spans="1:18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1</v>
      </c>
      <c r="M61" s="6">
        <v>1</v>
      </c>
      <c r="N61" s="6">
        <v>0</v>
      </c>
      <c r="O61" s="6">
        <v>0</v>
      </c>
      <c r="P61" s="6">
        <v>0</v>
      </c>
      <c r="Q61" s="6">
        <v>1</v>
      </c>
      <c r="R61" s="6">
        <v>1</v>
      </c>
    </row>
    <row r="62" spans="1:18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1</v>
      </c>
      <c r="M62" s="6">
        <v>1</v>
      </c>
      <c r="N62" s="6">
        <v>0</v>
      </c>
      <c r="O62" s="6">
        <v>0</v>
      </c>
      <c r="P62" s="6">
        <v>0</v>
      </c>
      <c r="Q62" s="6">
        <v>1</v>
      </c>
      <c r="R62" s="6">
        <v>1</v>
      </c>
    </row>
    <row r="63" spans="1:18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1</v>
      </c>
      <c r="M63" s="6">
        <v>1</v>
      </c>
      <c r="N63" s="6">
        <v>0</v>
      </c>
      <c r="O63" s="6">
        <v>0</v>
      </c>
      <c r="P63" s="6">
        <v>0</v>
      </c>
      <c r="Q63" s="6">
        <v>1</v>
      </c>
      <c r="R63" s="6">
        <v>1</v>
      </c>
    </row>
    <row r="64" spans="1:18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1</v>
      </c>
      <c r="M64" s="6">
        <v>1</v>
      </c>
      <c r="N64" s="6">
        <v>0</v>
      </c>
      <c r="O64" s="6">
        <v>0</v>
      </c>
      <c r="P64" s="6">
        <v>0</v>
      </c>
      <c r="Q64" s="6">
        <v>1</v>
      </c>
      <c r="R64" s="6">
        <v>1</v>
      </c>
    </row>
    <row r="65" spans="1:18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1</v>
      </c>
      <c r="M65" s="6">
        <v>1</v>
      </c>
      <c r="N65" s="6">
        <v>0</v>
      </c>
      <c r="O65" s="6">
        <v>0</v>
      </c>
      <c r="P65" s="6">
        <v>0</v>
      </c>
      <c r="Q65" s="6">
        <v>1</v>
      </c>
      <c r="R65" s="6">
        <v>1</v>
      </c>
    </row>
    <row r="66" spans="1:18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1</v>
      </c>
      <c r="M66" s="6">
        <v>1</v>
      </c>
      <c r="N66" s="6">
        <v>0</v>
      </c>
      <c r="O66" s="6">
        <v>0</v>
      </c>
      <c r="P66" s="6">
        <v>0</v>
      </c>
      <c r="Q66" s="6">
        <v>1</v>
      </c>
      <c r="R66" s="6">
        <v>1</v>
      </c>
    </row>
    <row r="67" spans="1:18" ht="19.5" thickBot="1">
      <c r="A67" s="5">
        <v>0.66666666666666663</v>
      </c>
      <c r="B67" s="6">
        <v>2</v>
      </c>
      <c r="C67" s="6">
        <v>1</v>
      </c>
      <c r="D67" s="6">
        <v>0</v>
      </c>
      <c r="E67" s="6">
        <v>0</v>
      </c>
      <c r="F67" s="6">
        <v>1</v>
      </c>
      <c r="G67" s="6">
        <v>0</v>
      </c>
      <c r="H67" s="6">
        <v>2</v>
      </c>
      <c r="I67" s="6">
        <v>0</v>
      </c>
      <c r="J67" s="6">
        <v>1</v>
      </c>
      <c r="K67" s="6">
        <v>2</v>
      </c>
      <c r="L67" s="6">
        <v>2</v>
      </c>
      <c r="M67" s="6">
        <v>2</v>
      </c>
      <c r="N67" s="6">
        <v>1</v>
      </c>
      <c r="O67" s="6">
        <v>0</v>
      </c>
      <c r="P67" s="6">
        <v>0</v>
      </c>
      <c r="Q67" s="6">
        <v>1</v>
      </c>
      <c r="R67" s="6">
        <v>1</v>
      </c>
    </row>
    <row r="68" spans="1:18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2</v>
      </c>
      <c r="G68" s="6">
        <v>0</v>
      </c>
      <c r="H68" s="6">
        <v>2</v>
      </c>
      <c r="I68" s="6">
        <v>0</v>
      </c>
      <c r="J68" s="6">
        <v>0</v>
      </c>
      <c r="K68" s="6">
        <v>2</v>
      </c>
      <c r="L68" s="6">
        <v>2</v>
      </c>
      <c r="M68" s="6">
        <v>2</v>
      </c>
      <c r="N68" s="6">
        <v>1</v>
      </c>
      <c r="O68" s="6">
        <v>0</v>
      </c>
      <c r="P68" s="6">
        <v>0</v>
      </c>
      <c r="Q68" s="6">
        <v>1</v>
      </c>
      <c r="R68" s="6">
        <v>1</v>
      </c>
    </row>
    <row r="69" spans="1:18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2</v>
      </c>
      <c r="G69" s="6">
        <v>0</v>
      </c>
      <c r="H69" s="6">
        <v>2</v>
      </c>
      <c r="I69" s="6">
        <v>0</v>
      </c>
      <c r="J69" s="6">
        <v>0</v>
      </c>
      <c r="K69" s="6">
        <v>2</v>
      </c>
      <c r="L69" s="6">
        <v>2</v>
      </c>
      <c r="M69" s="6">
        <v>2</v>
      </c>
      <c r="N69" s="6">
        <v>1</v>
      </c>
      <c r="O69" s="6">
        <v>0</v>
      </c>
      <c r="P69" s="6">
        <v>0</v>
      </c>
      <c r="Q69" s="6">
        <v>1</v>
      </c>
      <c r="R69" s="6">
        <v>1</v>
      </c>
    </row>
    <row r="70" spans="1:18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2</v>
      </c>
      <c r="G70" s="6">
        <v>0</v>
      </c>
      <c r="H70" s="6">
        <v>2</v>
      </c>
      <c r="I70" s="6">
        <v>0</v>
      </c>
      <c r="J70" s="6">
        <v>0</v>
      </c>
      <c r="K70" s="6">
        <v>2</v>
      </c>
      <c r="L70" s="6">
        <v>2</v>
      </c>
      <c r="M70" s="6">
        <v>2</v>
      </c>
      <c r="N70" s="6">
        <v>1</v>
      </c>
      <c r="O70" s="6">
        <v>0</v>
      </c>
      <c r="P70" s="6">
        <v>0</v>
      </c>
      <c r="Q70" s="6">
        <v>1</v>
      </c>
      <c r="R70" s="6">
        <v>1</v>
      </c>
    </row>
    <row r="71" spans="1:18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2</v>
      </c>
      <c r="G71" s="6">
        <v>0</v>
      </c>
      <c r="H71" s="6">
        <v>2</v>
      </c>
      <c r="I71" s="6">
        <v>0</v>
      </c>
      <c r="J71" s="6">
        <v>0</v>
      </c>
      <c r="K71" s="6">
        <v>2</v>
      </c>
      <c r="L71" s="6">
        <v>2</v>
      </c>
      <c r="M71" s="6">
        <v>2</v>
      </c>
      <c r="N71" s="6">
        <v>1</v>
      </c>
      <c r="O71" s="6">
        <v>0</v>
      </c>
      <c r="P71" s="6">
        <v>0</v>
      </c>
      <c r="Q71" s="6">
        <v>1</v>
      </c>
      <c r="R71" s="6">
        <v>1</v>
      </c>
    </row>
    <row r="72" spans="1:18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2</v>
      </c>
      <c r="I72" s="6">
        <v>0</v>
      </c>
      <c r="J72" s="6">
        <v>0</v>
      </c>
      <c r="K72" s="6">
        <v>2</v>
      </c>
      <c r="L72" s="6">
        <v>2</v>
      </c>
      <c r="M72" s="6">
        <v>2</v>
      </c>
      <c r="N72" s="6">
        <v>1</v>
      </c>
      <c r="O72" s="6">
        <v>0</v>
      </c>
      <c r="P72" s="6">
        <v>0</v>
      </c>
      <c r="Q72" s="6">
        <v>1</v>
      </c>
      <c r="R72" s="6">
        <v>1</v>
      </c>
    </row>
    <row r="73" spans="1:18" ht="19.5" thickBot="1">
      <c r="A73" s="5">
        <v>0.72916666666666663</v>
      </c>
      <c r="B73" s="6">
        <v>2</v>
      </c>
      <c r="C73" s="6">
        <v>0</v>
      </c>
      <c r="D73" s="6">
        <v>1</v>
      </c>
      <c r="E73" s="6">
        <v>1</v>
      </c>
      <c r="F73" s="6">
        <v>2</v>
      </c>
      <c r="G73" s="6">
        <v>0</v>
      </c>
      <c r="H73" s="6">
        <v>2</v>
      </c>
      <c r="I73" s="6">
        <v>0</v>
      </c>
      <c r="J73" s="6">
        <v>0</v>
      </c>
      <c r="K73" s="6">
        <v>2</v>
      </c>
      <c r="L73" s="6">
        <v>2</v>
      </c>
      <c r="M73" s="6">
        <v>2</v>
      </c>
      <c r="N73" s="6">
        <v>1</v>
      </c>
      <c r="O73" s="6">
        <v>0</v>
      </c>
      <c r="P73" s="6">
        <v>0</v>
      </c>
      <c r="Q73" s="6">
        <v>1</v>
      </c>
      <c r="R73" s="6">
        <v>1</v>
      </c>
    </row>
    <row r="74" spans="1:18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1</v>
      </c>
      <c r="F74" s="6">
        <v>2</v>
      </c>
      <c r="G74" s="6">
        <v>0</v>
      </c>
      <c r="H74" s="6">
        <v>2</v>
      </c>
      <c r="I74" s="6">
        <v>0</v>
      </c>
      <c r="J74" s="6">
        <v>0</v>
      </c>
      <c r="K74" s="6">
        <v>2</v>
      </c>
      <c r="L74" s="6">
        <v>2</v>
      </c>
      <c r="M74" s="6">
        <v>2</v>
      </c>
      <c r="N74" s="6">
        <v>1</v>
      </c>
      <c r="O74" s="6">
        <v>0</v>
      </c>
      <c r="P74" s="6">
        <v>0</v>
      </c>
      <c r="Q74" s="6">
        <v>1</v>
      </c>
      <c r="R74" s="6">
        <v>1</v>
      </c>
    </row>
    <row r="75" spans="1:18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2</v>
      </c>
      <c r="I75" s="6">
        <v>0</v>
      </c>
      <c r="J75" s="6">
        <v>0</v>
      </c>
      <c r="K75" s="6">
        <v>2</v>
      </c>
      <c r="L75" s="6">
        <v>2</v>
      </c>
      <c r="M75" s="6">
        <v>2</v>
      </c>
      <c r="N75" s="6">
        <v>1</v>
      </c>
      <c r="O75" s="6">
        <v>0</v>
      </c>
      <c r="P75" s="6">
        <v>0</v>
      </c>
      <c r="Q75" s="6">
        <v>1</v>
      </c>
      <c r="R75" s="6">
        <v>1</v>
      </c>
    </row>
    <row r="76" spans="1:18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2</v>
      </c>
      <c r="I76" s="6">
        <v>0</v>
      </c>
      <c r="J76" s="6">
        <v>0</v>
      </c>
      <c r="K76" s="6">
        <v>2</v>
      </c>
      <c r="L76" s="6">
        <v>2</v>
      </c>
      <c r="M76" s="6">
        <v>2</v>
      </c>
      <c r="N76" s="6">
        <v>1</v>
      </c>
      <c r="O76" s="6">
        <v>0</v>
      </c>
      <c r="P76" s="6">
        <v>0</v>
      </c>
      <c r="Q76" s="6">
        <v>1</v>
      </c>
      <c r="R76" s="6">
        <v>1</v>
      </c>
    </row>
    <row r="77" spans="1:18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2</v>
      </c>
      <c r="F77" s="6">
        <v>2</v>
      </c>
      <c r="G77" s="6">
        <v>0</v>
      </c>
      <c r="H77" s="6">
        <v>2</v>
      </c>
      <c r="I77" s="6">
        <v>0</v>
      </c>
      <c r="J77" s="6">
        <v>0</v>
      </c>
      <c r="K77" s="6">
        <v>2</v>
      </c>
      <c r="L77" s="6">
        <v>2</v>
      </c>
      <c r="M77" s="6">
        <v>2</v>
      </c>
      <c r="N77" s="6">
        <v>0</v>
      </c>
      <c r="O77" s="6">
        <v>0</v>
      </c>
      <c r="P77" s="6">
        <v>0</v>
      </c>
      <c r="Q77" s="6">
        <v>1</v>
      </c>
      <c r="R77" s="6">
        <v>1</v>
      </c>
    </row>
    <row r="78" spans="1:18" ht="19.5" thickBot="1">
      <c r="A78" s="5">
        <v>0.78125</v>
      </c>
      <c r="B78" s="6">
        <v>3</v>
      </c>
      <c r="C78" s="6">
        <v>0</v>
      </c>
      <c r="D78" s="6">
        <v>0</v>
      </c>
      <c r="E78" s="6">
        <v>2</v>
      </c>
      <c r="F78" s="6">
        <v>2</v>
      </c>
      <c r="G78" s="6">
        <v>0</v>
      </c>
      <c r="H78" s="6">
        <v>2</v>
      </c>
      <c r="I78" s="6">
        <v>0</v>
      </c>
      <c r="J78" s="6">
        <v>0</v>
      </c>
      <c r="K78" s="6">
        <v>2</v>
      </c>
      <c r="L78" s="6">
        <v>2</v>
      </c>
      <c r="M78" s="6">
        <v>2</v>
      </c>
      <c r="N78" s="6">
        <v>0</v>
      </c>
      <c r="O78" s="6">
        <v>0</v>
      </c>
      <c r="P78" s="6">
        <v>0</v>
      </c>
      <c r="Q78" s="6">
        <v>1</v>
      </c>
      <c r="R78" s="6">
        <v>1</v>
      </c>
    </row>
    <row r="79" spans="1:18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2</v>
      </c>
      <c r="I79" s="6">
        <v>0</v>
      </c>
      <c r="J79" s="6">
        <v>0</v>
      </c>
      <c r="K79" s="6">
        <v>1</v>
      </c>
      <c r="L79" s="6">
        <v>1</v>
      </c>
      <c r="M79" s="6">
        <v>2</v>
      </c>
      <c r="N79" s="6">
        <v>0</v>
      </c>
      <c r="O79" s="6">
        <v>0</v>
      </c>
      <c r="P79" s="6">
        <v>0</v>
      </c>
      <c r="Q79" s="6">
        <v>1</v>
      </c>
      <c r="R79" s="6">
        <v>1</v>
      </c>
    </row>
    <row r="80" spans="1:18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2</v>
      </c>
      <c r="I80" s="6">
        <v>0</v>
      </c>
      <c r="J80" s="6">
        <v>0</v>
      </c>
      <c r="K80" s="6">
        <v>1</v>
      </c>
      <c r="L80" s="6">
        <v>1</v>
      </c>
      <c r="M80" s="6">
        <v>2</v>
      </c>
      <c r="N80" s="6">
        <v>0</v>
      </c>
      <c r="O80" s="6">
        <v>0</v>
      </c>
      <c r="P80" s="6">
        <v>0</v>
      </c>
      <c r="Q80" s="6">
        <v>1</v>
      </c>
      <c r="R80" s="6">
        <v>1</v>
      </c>
    </row>
    <row r="81" spans="1:18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2</v>
      </c>
      <c r="G81" s="6">
        <v>0</v>
      </c>
      <c r="H81" s="6">
        <v>2</v>
      </c>
      <c r="I81" s="6">
        <v>0</v>
      </c>
      <c r="J81" s="6">
        <v>0</v>
      </c>
      <c r="K81" s="6">
        <v>1</v>
      </c>
      <c r="L81" s="6">
        <v>1</v>
      </c>
      <c r="M81" s="6">
        <v>2</v>
      </c>
      <c r="N81" s="6">
        <v>0</v>
      </c>
      <c r="O81" s="6">
        <v>0</v>
      </c>
      <c r="P81" s="6">
        <v>0</v>
      </c>
      <c r="Q81" s="6">
        <v>1</v>
      </c>
      <c r="R81" s="6">
        <v>1</v>
      </c>
    </row>
    <row r="82" spans="1:18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1</v>
      </c>
      <c r="L82" s="6">
        <v>1</v>
      </c>
      <c r="M82" s="6">
        <v>2</v>
      </c>
      <c r="N82" s="6">
        <v>0</v>
      </c>
      <c r="O82" s="6">
        <v>0</v>
      </c>
      <c r="P82" s="6">
        <v>0</v>
      </c>
      <c r="Q82" s="6">
        <v>1</v>
      </c>
      <c r="R82" s="6">
        <v>1</v>
      </c>
    </row>
    <row r="83" spans="1:18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1</v>
      </c>
      <c r="L83" s="6">
        <v>1</v>
      </c>
      <c r="M83" s="6">
        <v>2</v>
      </c>
      <c r="N83" s="6">
        <v>1</v>
      </c>
      <c r="O83" s="6">
        <v>0</v>
      </c>
      <c r="P83" s="6">
        <v>0</v>
      </c>
      <c r="Q83" s="6">
        <v>1</v>
      </c>
      <c r="R83" s="6">
        <v>1</v>
      </c>
    </row>
    <row r="84" spans="1:18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1</v>
      </c>
      <c r="L84" s="6">
        <v>1</v>
      </c>
      <c r="M84" s="6">
        <v>2</v>
      </c>
      <c r="N84" s="6">
        <v>1</v>
      </c>
      <c r="O84" s="6">
        <v>0</v>
      </c>
      <c r="P84" s="6">
        <v>0</v>
      </c>
      <c r="Q84" s="6">
        <v>1</v>
      </c>
      <c r="R84" s="6">
        <v>1</v>
      </c>
    </row>
    <row r="85" spans="1:18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1</v>
      </c>
      <c r="L85" s="6">
        <v>1</v>
      </c>
      <c r="M85" s="6">
        <v>2</v>
      </c>
      <c r="N85" s="6">
        <v>1</v>
      </c>
      <c r="O85" s="6">
        <v>0</v>
      </c>
      <c r="P85" s="6">
        <v>0</v>
      </c>
      <c r="Q85" s="6">
        <v>1</v>
      </c>
      <c r="R85" s="6">
        <v>1</v>
      </c>
    </row>
    <row r="86" spans="1:18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1</v>
      </c>
      <c r="L86" s="6">
        <v>1</v>
      </c>
      <c r="M86" s="6">
        <v>2</v>
      </c>
      <c r="N86" s="6">
        <v>1</v>
      </c>
      <c r="O86" s="6">
        <v>0</v>
      </c>
      <c r="P86" s="6">
        <v>0</v>
      </c>
      <c r="Q86" s="6">
        <v>1</v>
      </c>
      <c r="R86" s="6">
        <v>1</v>
      </c>
    </row>
    <row r="87" spans="1:18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1</v>
      </c>
      <c r="L87" s="6">
        <v>1</v>
      </c>
      <c r="M87" s="6">
        <v>2</v>
      </c>
      <c r="N87" s="6">
        <v>1</v>
      </c>
      <c r="O87" s="6">
        <v>0</v>
      </c>
      <c r="P87" s="6">
        <v>0</v>
      </c>
      <c r="Q87" s="6">
        <v>1</v>
      </c>
      <c r="R87" s="6">
        <v>1</v>
      </c>
    </row>
    <row r="88" spans="1:18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1</v>
      </c>
      <c r="L88" s="6">
        <v>1</v>
      </c>
      <c r="M88" s="6">
        <v>2</v>
      </c>
      <c r="N88" s="6">
        <v>0</v>
      </c>
      <c r="O88" s="6">
        <v>0</v>
      </c>
      <c r="P88" s="6">
        <v>0</v>
      </c>
      <c r="Q88" s="6">
        <v>1</v>
      </c>
      <c r="R88" s="6">
        <v>1</v>
      </c>
    </row>
    <row r="89" spans="1:18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1</v>
      </c>
      <c r="L89" s="6">
        <v>1</v>
      </c>
      <c r="M89" s="6">
        <v>2</v>
      </c>
      <c r="N89" s="6">
        <v>0</v>
      </c>
      <c r="O89" s="6">
        <v>0</v>
      </c>
      <c r="P89" s="6">
        <v>0</v>
      </c>
      <c r="Q89" s="6">
        <v>1</v>
      </c>
      <c r="R89" s="6">
        <v>1</v>
      </c>
    </row>
    <row r="90" spans="1:18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1</v>
      </c>
      <c r="L90" s="6">
        <v>1</v>
      </c>
      <c r="M90" s="6">
        <v>2</v>
      </c>
      <c r="N90" s="6">
        <v>0</v>
      </c>
      <c r="O90" s="6">
        <v>0</v>
      </c>
      <c r="P90" s="6">
        <v>1</v>
      </c>
      <c r="Q90" s="6">
        <v>1</v>
      </c>
      <c r="R90" s="6">
        <v>1</v>
      </c>
    </row>
    <row r="91" spans="1:18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0</v>
      </c>
      <c r="H91" s="6">
        <v>1</v>
      </c>
      <c r="I91" s="6">
        <v>0</v>
      </c>
      <c r="J91" s="6">
        <v>0</v>
      </c>
      <c r="K91" s="6">
        <v>1</v>
      </c>
      <c r="L91" s="6">
        <v>1</v>
      </c>
      <c r="M91" s="6">
        <v>2</v>
      </c>
      <c r="N91" s="6">
        <v>1</v>
      </c>
      <c r="O91" s="6">
        <v>0</v>
      </c>
      <c r="P91" s="6">
        <v>0</v>
      </c>
      <c r="Q91" s="6">
        <v>1</v>
      </c>
      <c r="R91" s="6">
        <v>1</v>
      </c>
    </row>
    <row r="92" spans="1:18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0</v>
      </c>
      <c r="H92" s="6">
        <v>1</v>
      </c>
      <c r="I92" s="6">
        <v>0</v>
      </c>
      <c r="J92" s="6">
        <v>0</v>
      </c>
      <c r="K92" s="6">
        <v>1</v>
      </c>
      <c r="L92" s="6">
        <v>1</v>
      </c>
      <c r="M92" s="6">
        <v>2</v>
      </c>
      <c r="N92" s="6">
        <v>1</v>
      </c>
      <c r="O92" s="6">
        <v>0</v>
      </c>
      <c r="P92" s="6">
        <v>0</v>
      </c>
      <c r="Q92" s="6">
        <v>1</v>
      </c>
      <c r="R92" s="6">
        <v>1</v>
      </c>
    </row>
    <row r="93" spans="1:18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2</v>
      </c>
      <c r="G93" s="6">
        <v>0</v>
      </c>
      <c r="H93" s="6">
        <v>1</v>
      </c>
      <c r="I93" s="6">
        <v>0</v>
      </c>
      <c r="J93" s="6">
        <v>0</v>
      </c>
      <c r="K93" s="6">
        <v>1</v>
      </c>
      <c r="L93" s="6">
        <v>1</v>
      </c>
      <c r="M93" s="6">
        <v>2</v>
      </c>
      <c r="N93" s="6">
        <v>1</v>
      </c>
      <c r="O93" s="6">
        <v>0</v>
      </c>
      <c r="P93" s="6">
        <v>0</v>
      </c>
      <c r="Q93" s="6">
        <v>1</v>
      </c>
      <c r="R93" s="6">
        <v>1</v>
      </c>
    </row>
    <row r="94" spans="1:18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2</v>
      </c>
      <c r="G94" s="6">
        <v>0</v>
      </c>
      <c r="H94" s="6">
        <v>1</v>
      </c>
      <c r="I94" s="6">
        <v>0</v>
      </c>
      <c r="J94" s="6">
        <v>0</v>
      </c>
      <c r="K94" s="6">
        <v>1</v>
      </c>
      <c r="L94" s="6">
        <v>1</v>
      </c>
      <c r="M94" s="6">
        <v>2</v>
      </c>
      <c r="N94" s="6">
        <v>1</v>
      </c>
      <c r="O94" s="6">
        <v>0</v>
      </c>
      <c r="P94" s="6">
        <v>1</v>
      </c>
      <c r="Q94" s="6">
        <v>1</v>
      </c>
      <c r="R94" s="6">
        <v>1</v>
      </c>
    </row>
    <row r="95" spans="1:18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1</v>
      </c>
      <c r="M95" s="6">
        <v>1</v>
      </c>
      <c r="N95" s="6">
        <v>0</v>
      </c>
      <c r="O95" s="6">
        <v>0</v>
      </c>
      <c r="P95" s="6">
        <v>0</v>
      </c>
      <c r="Q95" s="6">
        <v>1</v>
      </c>
      <c r="R95" s="6">
        <v>1</v>
      </c>
    </row>
    <row r="96" spans="1:18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1</v>
      </c>
      <c r="M96" s="6">
        <v>1</v>
      </c>
      <c r="N96" s="6">
        <v>0</v>
      </c>
      <c r="O96" s="6">
        <v>0</v>
      </c>
      <c r="P96" s="6">
        <v>0</v>
      </c>
      <c r="Q96" s="6">
        <v>1</v>
      </c>
      <c r="R96" s="6">
        <v>1</v>
      </c>
    </row>
    <row r="97" spans="1:18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1</v>
      </c>
      <c r="M97" s="6">
        <v>1</v>
      </c>
      <c r="N97" s="6">
        <v>0</v>
      </c>
      <c r="O97" s="6">
        <v>0</v>
      </c>
      <c r="P97" s="6">
        <v>0</v>
      </c>
      <c r="Q97" s="6">
        <v>1</v>
      </c>
      <c r="R97" s="6">
        <v>1</v>
      </c>
    </row>
    <row r="98" spans="1:18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1</v>
      </c>
      <c r="M98" s="6">
        <v>1</v>
      </c>
      <c r="N98" s="6">
        <v>0</v>
      </c>
      <c r="O98" s="6">
        <v>0</v>
      </c>
      <c r="P98" s="6">
        <v>0</v>
      </c>
      <c r="Q98" s="6">
        <v>1</v>
      </c>
      <c r="R98" s="6">
        <v>1</v>
      </c>
    </row>
  </sheetData>
  <mergeCells count="6">
    <mergeCell ref="B1:E1"/>
    <mergeCell ref="F1:I1"/>
    <mergeCell ref="K1:L1"/>
    <mergeCell ref="M1:N1"/>
    <mergeCell ref="O1:P1"/>
    <mergeCell ref="Q1:R1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D3382-BDAA-4C70-AAC3-E65BE6A70407}">
  <sheetPr codeName="Sheet5">
    <tabColor rgb="FFFFFFCC"/>
  </sheetPr>
  <dimension ref="A1:R98"/>
  <sheetViews>
    <sheetView workbookViewId="0">
      <selection activeCell="P29" sqref="P29"/>
    </sheetView>
  </sheetViews>
  <sheetFormatPr defaultRowHeight="18.75"/>
  <sheetData>
    <row r="1" spans="1:18" ht="19.5" thickBot="1">
      <c r="A1" s="1" t="s">
        <v>19</v>
      </c>
      <c r="B1" s="8" t="s">
        <v>20</v>
      </c>
      <c r="C1" s="7"/>
      <c r="D1" s="7"/>
      <c r="E1" s="9"/>
      <c r="F1" s="8" t="s">
        <v>21</v>
      </c>
      <c r="G1" s="7"/>
      <c r="H1" s="7"/>
      <c r="I1" s="9"/>
      <c r="J1" s="2" t="s">
        <v>22</v>
      </c>
      <c r="K1" s="8" t="s">
        <v>23</v>
      </c>
      <c r="L1" s="9"/>
      <c r="M1" s="8" t="s">
        <v>24</v>
      </c>
      <c r="N1" s="9"/>
      <c r="O1" s="8" t="s">
        <v>25</v>
      </c>
      <c r="P1" s="9"/>
      <c r="Q1" s="8" t="s">
        <v>26</v>
      </c>
      <c r="R1" s="9"/>
    </row>
    <row r="2" spans="1:18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37</v>
      </c>
      <c r="L2" s="4" t="s">
        <v>38</v>
      </c>
      <c r="M2" s="4" t="s">
        <v>39</v>
      </c>
      <c r="N2" s="4" t="s">
        <v>40</v>
      </c>
      <c r="O2" s="4" t="s">
        <v>41</v>
      </c>
      <c r="P2" s="4" t="s">
        <v>42</v>
      </c>
      <c r="Q2" s="4" t="s">
        <v>43</v>
      </c>
      <c r="R2" s="4" t="s">
        <v>43</v>
      </c>
    </row>
    <row r="3" spans="1:18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1</v>
      </c>
      <c r="M3" s="6">
        <v>1</v>
      </c>
      <c r="N3" s="6">
        <v>0</v>
      </c>
      <c r="O3" s="6">
        <v>0</v>
      </c>
      <c r="P3" s="6">
        <v>0</v>
      </c>
      <c r="Q3" s="6">
        <v>1</v>
      </c>
      <c r="R3" s="6">
        <v>1</v>
      </c>
    </row>
    <row r="4" spans="1:18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1</v>
      </c>
      <c r="M4" s="6">
        <v>1</v>
      </c>
      <c r="N4" s="6">
        <v>0</v>
      </c>
      <c r="O4" s="6">
        <v>0</v>
      </c>
      <c r="P4" s="6">
        <v>0</v>
      </c>
      <c r="Q4" s="6">
        <v>1</v>
      </c>
      <c r="R4" s="6">
        <v>1</v>
      </c>
    </row>
    <row r="5" spans="1:18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1</v>
      </c>
      <c r="M5" s="6">
        <v>1</v>
      </c>
      <c r="N5" s="6">
        <v>0</v>
      </c>
      <c r="O5" s="6">
        <v>0</v>
      </c>
      <c r="P5" s="6">
        <v>0</v>
      </c>
      <c r="Q5" s="6">
        <v>1</v>
      </c>
      <c r="R5" s="6">
        <v>1</v>
      </c>
    </row>
    <row r="6" spans="1:18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1</v>
      </c>
      <c r="M6" s="6">
        <v>1</v>
      </c>
      <c r="N6" s="6">
        <v>0</v>
      </c>
      <c r="O6" s="6">
        <v>0</v>
      </c>
      <c r="P6" s="6">
        <v>0</v>
      </c>
      <c r="Q6" s="6">
        <v>1</v>
      </c>
      <c r="R6" s="6">
        <v>1</v>
      </c>
    </row>
    <row r="7" spans="1:18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1</v>
      </c>
      <c r="M7" s="6">
        <v>1</v>
      </c>
      <c r="N7" s="6">
        <v>0</v>
      </c>
      <c r="O7" s="6">
        <v>0</v>
      </c>
      <c r="P7" s="6">
        <v>0</v>
      </c>
      <c r="Q7" s="6">
        <v>1</v>
      </c>
      <c r="R7" s="6">
        <v>1</v>
      </c>
    </row>
    <row r="8" spans="1:18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1</v>
      </c>
      <c r="M8" s="6">
        <v>1</v>
      </c>
      <c r="N8" s="6">
        <v>0</v>
      </c>
      <c r="O8" s="6">
        <v>0</v>
      </c>
      <c r="P8" s="6">
        <v>0</v>
      </c>
      <c r="Q8" s="6">
        <v>1</v>
      </c>
      <c r="R8" s="6">
        <v>1</v>
      </c>
    </row>
    <row r="9" spans="1:18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1</v>
      </c>
      <c r="M9" s="6">
        <v>1</v>
      </c>
      <c r="N9" s="6">
        <v>0</v>
      </c>
      <c r="O9" s="6">
        <v>0</v>
      </c>
      <c r="P9" s="6">
        <v>0</v>
      </c>
      <c r="Q9" s="6">
        <v>1</v>
      </c>
      <c r="R9" s="6">
        <v>1</v>
      </c>
    </row>
    <row r="10" spans="1:18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1</v>
      </c>
      <c r="M10" s="6">
        <v>1</v>
      </c>
      <c r="N10" s="6">
        <v>0</v>
      </c>
      <c r="O10" s="6">
        <v>0</v>
      </c>
      <c r="P10" s="6">
        <v>0</v>
      </c>
      <c r="Q10" s="6">
        <v>1</v>
      </c>
      <c r="R10" s="6">
        <v>1</v>
      </c>
    </row>
    <row r="11" spans="1:18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1</v>
      </c>
      <c r="M11" s="6">
        <v>1</v>
      </c>
      <c r="N11" s="6">
        <v>0</v>
      </c>
      <c r="O11" s="6">
        <v>0</v>
      </c>
      <c r="P11" s="6">
        <v>0</v>
      </c>
      <c r="Q11" s="6">
        <v>1</v>
      </c>
      <c r="R11" s="6">
        <v>1</v>
      </c>
    </row>
    <row r="12" spans="1:18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1</v>
      </c>
      <c r="M12" s="6">
        <v>1</v>
      </c>
      <c r="N12" s="6">
        <v>0</v>
      </c>
      <c r="O12" s="6">
        <v>0</v>
      </c>
      <c r="P12" s="6">
        <v>0</v>
      </c>
      <c r="Q12" s="6">
        <v>1</v>
      </c>
      <c r="R12" s="6">
        <v>1</v>
      </c>
    </row>
    <row r="13" spans="1:18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1</v>
      </c>
      <c r="M13" s="6">
        <v>1</v>
      </c>
      <c r="N13" s="6">
        <v>0</v>
      </c>
      <c r="O13" s="6">
        <v>0</v>
      </c>
      <c r="P13" s="6">
        <v>0</v>
      </c>
      <c r="Q13" s="6">
        <v>1</v>
      </c>
      <c r="R13" s="6">
        <v>1</v>
      </c>
    </row>
    <row r="14" spans="1:18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1</v>
      </c>
      <c r="M14" s="6">
        <v>1</v>
      </c>
      <c r="N14" s="6">
        <v>0</v>
      </c>
      <c r="O14" s="6">
        <v>0</v>
      </c>
      <c r="P14" s="6">
        <v>0</v>
      </c>
      <c r="Q14" s="6">
        <v>1</v>
      </c>
      <c r="R14" s="6">
        <v>1</v>
      </c>
    </row>
    <row r="15" spans="1:18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1</v>
      </c>
      <c r="M15" s="6">
        <v>1</v>
      </c>
      <c r="N15" s="6">
        <v>0</v>
      </c>
      <c r="O15" s="6">
        <v>0</v>
      </c>
      <c r="P15" s="6">
        <v>0</v>
      </c>
      <c r="Q15" s="6">
        <v>1</v>
      </c>
      <c r="R15" s="6">
        <v>1</v>
      </c>
    </row>
    <row r="16" spans="1:18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1</v>
      </c>
      <c r="M16" s="6">
        <v>1</v>
      </c>
      <c r="N16" s="6">
        <v>0</v>
      </c>
      <c r="O16" s="6">
        <v>0</v>
      </c>
      <c r="P16" s="6">
        <v>0</v>
      </c>
      <c r="Q16" s="6">
        <v>1</v>
      </c>
      <c r="R16" s="6">
        <v>1</v>
      </c>
    </row>
    <row r="17" spans="1:18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1</v>
      </c>
      <c r="M17" s="6">
        <v>1</v>
      </c>
      <c r="N17" s="6">
        <v>0</v>
      </c>
      <c r="O17" s="6">
        <v>0</v>
      </c>
      <c r="P17" s="6">
        <v>0</v>
      </c>
      <c r="Q17" s="6">
        <v>1</v>
      </c>
      <c r="R17" s="6">
        <v>1</v>
      </c>
    </row>
    <row r="18" spans="1:18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1</v>
      </c>
      <c r="M18" s="6">
        <v>1</v>
      </c>
      <c r="N18" s="6">
        <v>0</v>
      </c>
      <c r="O18" s="6">
        <v>0</v>
      </c>
      <c r="P18" s="6">
        <v>0</v>
      </c>
      <c r="Q18" s="6">
        <v>1</v>
      </c>
      <c r="R18" s="6">
        <v>1</v>
      </c>
    </row>
    <row r="19" spans="1:18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1</v>
      </c>
      <c r="M19" s="6">
        <v>1</v>
      </c>
      <c r="N19" s="6">
        <v>0</v>
      </c>
      <c r="O19" s="6">
        <v>0</v>
      </c>
      <c r="P19" s="6">
        <v>0</v>
      </c>
      <c r="Q19" s="6">
        <v>1</v>
      </c>
      <c r="R19" s="6">
        <v>1</v>
      </c>
    </row>
    <row r="20" spans="1:18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1</v>
      </c>
      <c r="M20" s="6">
        <v>1</v>
      </c>
      <c r="N20" s="6">
        <v>0</v>
      </c>
      <c r="O20" s="6">
        <v>0</v>
      </c>
      <c r="P20" s="6">
        <v>0</v>
      </c>
      <c r="Q20" s="6">
        <v>1</v>
      </c>
      <c r="R20" s="6">
        <v>1</v>
      </c>
    </row>
    <row r="21" spans="1:18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1</v>
      </c>
      <c r="M21" s="6">
        <v>1</v>
      </c>
      <c r="N21" s="6">
        <v>0</v>
      </c>
      <c r="O21" s="6">
        <v>0</v>
      </c>
      <c r="P21" s="6">
        <v>0</v>
      </c>
      <c r="Q21" s="6">
        <v>1</v>
      </c>
      <c r="R21" s="6">
        <v>1</v>
      </c>
    </row>
    <row r="22" spans="1:18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1</v>
      </c>
      <c r="M22" s="6">
        <v>1</v>
      </c>
      <c r="N22" s="6">
        <v>0</v>
      </c>
      <c r="O22" s="6">
        <v>0</v>
      </c>
      <c r="P22" s="6">
        <v>0</v>
      </c>
      <c r="Q22" s="6">
        <v>1</v>
      </c>
      <c r="R22" s="6">
        <v>1</v>
      </c>
    </row>
    <row r="23" spans="1:18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1</v>
      </c>
      <c r="M23" s="6">
        <v>1</v>
      </c>
      <c r="N23" s="6">
        <v>0</v>
      </c>
      <c r="O23" s="6">
        <v>0</v>
      </c>
      <c r="P23" s="6">
        <v>0</v>
      </c>
      <c r="Q23" s="6">
        <v>1</v>
      </c>
      <c r="R23" s="6">
        <v>1</v>
      </c>
    </row>
    <row r="24" spans="1:18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1</v>
      </c>
      <c r="M24" s="6">
        <v>1</v>
      </c>
      <c r="N24" s="6">
        <v>0</v>
      </c>
      <c r="O24" s="6">
        <v>0</v>
      </c>
      <c r="P24" s="6">
        <v>0</v>
      </c>
      <c r="Q24" s="6">
        <v>1</v>
      </c>
      <c r="R24" s="6">
        <v>1</v>
      </c>
    </row>
    <row r="25" spans="1:18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1</v>
      </c>
      <c r="M25" s="6">
        <v>1</v>
      </c>
      <c r="N25" s="6">
        <v>0</v>
      </c>
      <c r="O25" s="6">
        <v>0</v>
      </c>
      <c r="P25" s="6">
        <v>0</v>
      </c>
      <c r="Q25" s="6">
        <v>1</v>
      </c>
      <c r="R25" s="6">
        <v>1</v>
      </c>
    </row>
    <row r="26" spans="1:18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1</v>
      </c>
      <c r="M26" s="6">
        <v>1</v>
      </c>
      <c r="N26" s="6">
        <v>0</v>
      </c>
      <c r="O26" s="6">
        <v>0</v>
      </c>
      <c r="P26" s="6">
        <v>0</v>
      </c>
      <c r="Q26" s="6">
        <v>1</v>
      </c>
      <c r="R26" s="6">
        <v>1</v>
      </c>
    </row>
    <row r="27" spans="1:18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1</v>
      </c>
      <c r="M27" s="6">
        <v>1</v>
      </c>
      <c r="N27" s="6">
        <v>0</v>
      </c>
      <c r="O27" s="6">
        <v>0</v>
      </c>
      <c r="P27" s="6">
        <v>0</v>
      </c>
      <c r="Q27" s="6">
        <v>1</v>
      </c>
      <c r="R27" s="6">
        <v>1</v>
      </c>
    </row>
    <row r="28" spans="1:18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1</v>
      </c>
      <c r="M28" s="6">
        <v>1</v>
      </c>
      <c r="N28" s="6">
        <v>0</v>
      </c>
      <c r="O28" s="6">
        <v>0</v>
      </c>
      <c r="P28" s="6">
        <v>0</v>
      </c>
      <c r="Q28" s="6">
        <v>1</v>
      </c>
      <c r="R28" s="6">
        <v>1</v>
      </c>
    </row>
    <row r="29" spans="1:18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1</v>
      </c>
      <c r="M29" s="6">
        <v>1</v>
      </c>
      <c r="N29" s="6">
        <v>0</v>
      </c>
      <c r="O29" s="6">
        <v>0</v>
      </c>
      <c r="P29" s="6">
        <v>1</v>
      </c>
      <c r="Q29" s="6">
        <v>1</v>
      </c>
      <c r="R29" s="6">
        <v>1</v>
      </c>
    </row>
    <row r="30" spans="1:18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1</v>
      </c>
      <c r="M30" s="6">
        <v>1</v>
      </c>
      <c r="N30" s="6">
        <v>0</v>
      </c>
      <c r="O30" s="6">
        <v>0</v>
      </c>
      <c r="P30" s="6">
        <v>0</v>
      </c>
      <c r="Q30" s="6">
        <v>1</v>
      </c>
      <c r="R30" s="6">
        <v>1</v>
      </c>
    </row>
    <row r="31" spans="1:18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1</v>
      </c>
      <c r="M31" s="6">
        <v>1</v>
      </c>
      <c r="N31" s="6">
        <v>0</v>
      </c>
      <c r="O31" s="6">
        <v>1</v>
      </c>
      <c r="P31" s="6">
        <v>0</v>
      </c>
      <c r="Q31" s="6">
        <v>1</v>
      </c>
      <c r="R31" s="6">
        <v>1</v>
      </c>
    </row>
    <row r="32" spans="1:18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1</v>
      </c>
      <c r="M32" s="6">
        <v>1</v>
      </c>
      <c r="N32" s="6">
        <v>0</v>
      </c>
      <c r="O32" s="6">
        <v>1</v>
      </c>
      <c r="P32" s="6">
        <v>0</v>
      </c>
      <c r="Q32" s="6">
        <v>1</v>
      </c>
      <c r="R32" s="6">
        <v>1</v>
      </c>
    </row>
    <row r="33" spans="1:18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1</v>
      </c>
      <c r="J33" s="6">
        <v>0</v>
      </c>
      <c r="K33" s="6">
        <v>1</v>
      </c>
      <c r="L33" s="6">
        <v>1</v>
      </c>
      <c r="M33" s="6">
        <v>1</v>
      </c>
      <c r="N33" s="6">
        <v>0</v>
      </c>
      <c r="O33" s="6">
        <v>1</v>
      </c>
      <c r="P33" s="6">
        <v>0</v>
      </c>
      <c r="Q33" s="6">
        <v>1</v>
      </c>
      <c r="R33" s="6">
        <v>1</v>
      </c>
    </row>
    <row r="34" spans="1:18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1</v>
      </c>
      <c r="M34" s="6">
        <v>1</v>
      </c>
      <c r="N34" s="6">
        <v>0</v>
      </c>
      <c r="O34" s="6">
        <v>0</v>
      </c>
      <c r="P34" s="6">
        <v>0</v>
      </c>
      <c r="Q34" s="6">
        <v>1</v>
      </c>
      <c r="R34" s="6">
        <v>1</v>
      </c>
    </row>
    <row r="35" spans="1:18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1</v>
      </c>
      <c r="M35" s="6">
        <v>1</v>
      </c>
      <c r="N35" s="6">
        <v>0</v>
      </c>
      <c r="O35" s="6">
        <v>0</v>
      </c>
      <c r="P35" s="6">
        <v>0</v>
      </c>
      <c r="Q35" s="6">
        <v>1</v>
      </c>
      <c r="R35" s="6">
        <v>1</v>
      </c>
    </row>
    <row r="36" spans="1:18" ht="19.5" thickBot="1">
      <c r="A36" s="5">
        <v>0.34375</v>
      </c>
      <c r="B36" s="6">
        <v>3</v>
      </c>
      <c r="C36" s="6">
        <v>1</v>
      </c>
      <c r="D36" s="6">
        <v>1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1</v>
      </c>
      <c r="M36" s="6">
        <v>1</v>
      </c>
      <c r="N36" s="6">
        <v>0</v>
      </c>
      <c r="O36" s="6">
        <v>0</v>
      </c>
      <c r="P36" s="6">
        <v>1</v>
      </c>
      <c r="Q36" s="6">
        <v>1</v>
      </c>
      <c r="R36" s="6">
        <v>1</v>
      </c>
    </row>
    <row r="37" spans="1:18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1</v>
      </c>
      <c r="M37" s="6">
        <v>1</v>
      </c>
      <c r="N37" s="6">
        <v>0</v>
      </c>
      <c r="O37" s="6">
        <v>0</v>
      </c>
      <c r="P37" s="6">
        <v>0</v>
      </c>
      <c r="Q37" s="6">
        <v>1</v>
      </c>
      <c r="R37" s="6">
        <v>1</v>
      </c>
    </row>
    <row r="38" spans="1:18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1</v>
      </c>
      <c r="M38" s="6">
        <v>1</v>
      </c>
      <c r="N38" s="6">
        <v>0</v>
      </c>
      <c r="O38" s="6">
        <v>0</v>
      </c>
      <c r="P38" s="6">
        <v>0</v>
      </c>
      <c r="Q38" s="6">
        <v>1</v>
      </c>
      <c r="R38" s="6">
        <v>1</v>
      </c>
    </row>
    <row r="39" spans="1:18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1</v>
      </c>
      <c r="G39" s="6">
        <v>0</v>
      </c>
      <c r="H39" s="6">
        <v>1</v>
      </c>
      <c r="I39" s="6">
        <v>0</v>
      </c>
      <c r="J39" s="6">
        <v>0</v>
      </c>
      <c r="K39" s="6">
        <v>1</v>
      </c>
      <c r="L39" s="6">
        <v>1</v>
      </c>
      <c r="M39" s="6">
        <v>1</v>
      </c>
      <c r="N39" s="6">
        <v>0</v>
      </c>
      <c r="O39" s="6">
        <v>0</v>
      </c>
      <c r="P39" s="6">
        <v>0</v>
      </c>
      <c r="Q39" s="6">
        <v>1</v>
      </c>
      <c r="R39" s="6">
        <v>1</v>
      </c>
    </row>
    <row r="40" spans="1:18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1</v>
      </c>
      <c r="G40" s="6">
        <v>0</v>
      </c>
      <c r="H40" s="6">
        <v>1</v>
      </c>
      <c r="I40" s="6">
        <v>0</v>
      </c>
      <c r="J40" s="6">
        <v>0</v>
      </c>
      <c r="K40" s="6">
        <v>1</v>
      </c>
      <c r="L40" s="6">
        <v>1</v>
      </c>
      <c r="M40" s="6">
        <v>1</v>
      </c>
      <c r="N40" s="6">
        <v>0</v>
      </c>
      <c r="O40" s="6">
        <v>0</v>
      </c>
      <c r="P40" s="6">
        <v>0</v>
      </c>
      <c r="Q40" s="6">
        <v>1</v>
      </c>
      <c r="R40" s="6">
        <v>1</v>
      </c>
    </row>
    <row r="41" spans="1:18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1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1</v>
      </c>
      <c r="M41" s="6">
        <v>1</v>
      </c>
      <c r="N41" s="6">
        <v>0</v>
      </c>
      <c r="O41" s="6">
        <v>0</v>
      </c>
      <c r="P41" s="6">
        <v>0</v>
      </c>
      <c r="Q41" s="6">
        <v>1</v>
      </c>
      <c r="R41" s="6">
        <v>1</v>
      </c>
    </row>
    <row r="42" spans="1:18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1</v>
      </c>
      <c r="G42" s="6">
        <v>0</v>
      </c>
      <c r="H42" s="6">
        <v>1</v>
      </c>
      <c r="I42" s="6">
        <v>0</v>
      </c>
      <c r="J42" s="6">
        <v>0</v>
      </c>
      <c r="K42" s="6">
        <v>1</v>
      </c>
      <c r="L42" s="6">
        <v>1</v>
      </c>
      <c r="M42" s="6">
        <v>1</v>
      </c>
      <c r="N42" s="6">
        <v>0</v>
      </c>
      <c r="O42" s="6">
        <v>0</v>
      </c>
      <c r="P42" s="6">
        <v>0</v>
      </c>
      <c r="Q42" s="6">
        <v>1</v>
      </c>
      <c r="R42" s="6">
        <v>1</v>
      </c>
    </row>
    <row r="43" spans="1:18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1</v>
      </c>
      <c r="L43" s="6">
        <v>1</v>
      </c>
      <c r="M43" s="6">
        <v>1</v>
      </c>
      <c r="N43" s="6">
        <v>0</v>
      </c>
      <c r="O43" s="6">
        <v>0</v>
      </c>
      <c r="P43" s="6">
        <v>0</v>
      </c>
      <c r="Q43" s="6">
        <v>1</v>
      </c>
      <c r="R43" s="6">
        <v>1</v>
      </c>
    </row>
    <row r="44" spans="1:18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1</v>
      </c>
      <c r="L44" s="6">
        <v>1</v>
      </c>
      <c r="M44" s="6">
        <v>1</v>
      </c>
      <c r="N44" s="6">
        <v>0</v>
      </c>
      <c r="O44" s="6">
        <v>0</v>
      </c>
      <c r="P44" s="6">
        <v>0</v>
      </c>
      <c r="Q44" s="6">
        <v>1</v>
      </c>
      <c r="R44" s="6">
        <v>1</v>
      </c>
    </row>
    <row r="45" spans="1:18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1</v>
      </c>
      <c r="L45" s="6">
        <v>1</v>
      </c>
      <c r="M45" s="6">
        <v>1</v>
      </c>
      <c r="N45" s="6">
        <v>0</v>
      </c>
      <c r="O45" s="6">
        <v>0</v>
      </c>
      <c r="P45" s="6">
        <v>0</v>
      </c>
      <c r="Q45" s="6">
        <v>1</v>
      </c>
      <c r="R45" s="6">
        <v>1</v>
      </c>
    </row>
    <row r="46" spans="1:18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1</v>
      </c>
      <c r="L46" s="6">
        <v>1</v>
      </c>
      <c r="M46" s="6">
        <v>1</v>
      </c>
      <c r="N46" s="6">
        <v>0</v>
      </c>
      <c r="O46" s="6">
        <v>0</v>
      </c>
      <c r="P46" s="6">
        <v>0</v>
      </c>
      <c r="Q46" s="6">
        <v>1</v>
      </c>
      <c r="R46" s="6">
        <v>1</v>
      </c>
    </row>
    <row r="47" spans="1:18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1</v>
      </c>
      <c r="L47" s="6">
        <v>1</v>
      </c>
      <c r="M47" s="6">
        <v>1</v>
      </c>
      <c r="N47" s="6">
        <v>0</v>
      </c>
      <c r="O47" s="6">
        <v>0</v>
      </c>
      <c r="P47" s="6">
        <v>0</v>
      </c>
      <c r="Q47" s="6">
        <v>1</v>
      </c>
      <c r="R47" s="6">
        <v>1</v>
      </c>
    </row>
    <row r="48" spans="1:18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1</v>
      </c>
      <c r="L48" s="6">
        <v>1</v>
      </c>
      <c r="M48" s="6">
        <v>1</v>
      </c>
      <c r="N48" s="6">
        <v>0</v>
      </c>
      <c r="O48" s="6">
        <v>0</v>
      </c>
      <c r="P48" s="6">
        <v>0</v>
      </c>
      <c r="Q48" s="6">
        <v>1</v>
      </c>
      <c r="R48" s="6">
        <v>1</v>
      </c>
    </row>
    <row r="49" spans="1:18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1</v>
      </c>
      <c r="L49" s="6">
        <v>1</v>
      </c>
      <c r="M49" s="6">
        <v>1</v>
      </c>
      <c r="N49" s="6">
        <v>0</v>
      </c>
      <c r="O49" s="6">
        <v>0</v>
      </c>
      <c r="P49" s="6">
        <v>0</v>
      </c>
      <c r="Q49" s="6">
        <v>1</v>
      </c>
      <c r="R49" s="6">
        <v>1</v>
      </c>
    </row>
    <row r="50" spans="1:18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1</v>
      </c>
      <c r="L50" s="6">
        <v>1</v>
      </c>
      <c r="M50" s="6">
        <v>1</v>
      </c>
      <c r="N50" s="6">
        <v>0</v>
      </c>
      <c r="O50" s="6">
        <v>0</v>
      </c>
      <c r="P50" s="6">
        <v>0</v>
      </c>
      <c r="Q50" s="6">
        <v>1</v>
      </c>
      <c r="R50" s="6">
        <v>1</v>
      </c>
    </row>
    <row r="51" spans="1:18" ht="19.5" thickBot="1">
      <c r="A51" s="5">
        <v>0.5</v>
      </c>
      <c r="B51" s="6">
        <v>3</v>
      </c>
      <c r="C51" s="6">
        <v>0</v>
      </c>
      <c r="D51" s="6">
        <v>0</v>
      </c>
      <c r="E51" s="6">
        <v>0</v>
      </c>
      <c r="F51" s="6">
        <v>1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1</v>
      </c>
      <c r="M51" s="6">
        <v>1</v>
      </c>
      <c r="N51" s="6">
        <v>0</v>
      </c>
      <c r="O51" s="6">
        <v>0</v>
      </c>
      <c r="P51" s="6">
        <v>0</v>
      </c>
      <c r="Q51" s="6">
        <v>1</v>
      </c>
      <c r="R51" s="6">
        <v>1</v>
      </c>
    </row>
    <row r="52" spans="1:18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1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1</v>
      </c>
      <c r="M52" s="6">
        <v>1</v>
      </c>
      <c r="N52" s="6">
        <v>0</v>
      </c>
      <c r="O52" s="6">
        <v>0</v>
      </c>
      <c r="P52" s="6">
        <v>0</v>
      </c>
      <c r="Q52" s="6">
        <v>1</v>
      </c>
      <c r="R52" s="6">
        <v>1</v>
      </c>
    </row>
    <row r="53" spans="1:18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1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1</v>
      </c>
      <c r="M53" s="6">
        <v>1</v>
      </c>
      <c r="N53" s="6">
        <v>0</v>
      </c>
      <c r="O53" s="6">
        <v>0</v>
      </c>
      <c r="P53" s="6">
        <v>0</v>
      </c>
      <c r="Q53" s="6">
        <v>1</v>
      </c>
      <c r="R53" s="6">
        <v>1</v>
      </c>
    </row>
    <row r="54" spans="1:18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1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1</v>
      </c>
      <c r="M54" s="6">
        <v>1</v>
      </c>
      <c r="N54" s="6">
        <v>0</v>
      </c>
      <c r="O54" s="6">
        <v>0</v>
      </c>
      <c r="P54" s="6">
        <v>0</v>
      </c>
      <c r="Q54" s="6">
        <v>1</v>
      </c>
      <c r="R54" s="6">
        <v>1</v>
      </c>
    </row>
    <row r="55" spans="1:18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1</v>
      </c>
      <c r="M55" s="6">
        <v>1</v>
      </c>
      <c r="N55" s="6">
        <v>0</v>
      </c>
      <c r="O55" s="6">
        <v>0</v>
      </c>
      <c r="P55" s="6">
        <v>0</v>
      </c>
      <c r="Q55" s="6">
        <v>1</v>
      </c>
      <c r="R55" s="6">
        <v>1</v>
      </c>
    </row>
    <row r="56" spans="1:18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1</v>
      </c>
      <c r="M56" s="6">
        <v>1</v>
      </c>
      <c r="N56" s="6">
        <v>0</v>
      </c>
      <c r="O56" s="6">
        <v>0</v>
      </c>
      <c r="P56" s="6">
        <v>0</v>
      </c>
      <c r="Q56" s="6">
        <v>1</v>
      </c>
      <c r="R56" s="6">
        <v>1</v>
      </c>
    </row>
    <row r="57" spans="1:18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1</v>
      </c>
      <c r="M57" s="6">
        <v>1</v>
      </c>
      <c r="N57" s="6">
        <v>0</v>
      </c>
      <c r="O57" s="6">
        <v>0</v>
      </c>
      <c r="P57" s="6">
        <v>0</v>
      </c>
      <c r="Q57" s="6">
        <v>1</v>
      </c>
      <c r="R57" s="6">
        <v>1</v>
      </c>
    </row>
    <row r="58" spans="1:18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1</v>
      </c>
      <c r="M58" s="6">
        <v>1</v>
      </c>
      <c r="N58" s="6">
        <v>0</v>
      </c>
      <c r="O58" s="6">
        <v>0</v>
      </c>
      <c r="P58" s="6">
        <v>0</v>
      </c>
      <c r="Q58" s="6">
        <v>1</v>
      </c>
      <c r="R58" s="6">
        <v>1</v>
      </c>
    </row>
    <row r="59" spans="1:18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1</v>
      </c>
      <c r="M59" s="6">
        <v>1</v>
      </c>
      <c r="N59" s="6">
        <v>0</v>
      </c>
      <c r="O59" s="6">
        <v>0</v>
      </c>
      <c r="P59" s="6">
        <v>0</v>
      </c>
      <c r="Q59" s="6">
        <v>1</v>
      </c>
      <c r="R59" s="6">
        <v>1</v>
      </c>
    </row>
    <row r="60" spans="1:18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1</v>
      </c>
      <c r="M60" s="6">
        <v>1</v>
      </c>
      <c r="N60" s="6">
        <v>0</v>
      </c>
      <c r="O60" s="6">
        <v>0</v>
      </c>
      <c r="P60" s="6">
        <v>0</v>
      </c>
      <c r="Q60" s="6">
        <v>1</v>
      </c>
      <c r="R60" s="6">
        <v>1</v>
      </c>
    </row>
    <row r="61" spans="1:18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1</v>
      </c>
      <c r="M61" s="6">
        <v>1</v>
      </c>
      <c r="N61" s="6">
        <v>0</v>
      </c>
      <c r="O61" s="6">
        <v>0</v>
      </c>
      <c r="P61" s="6">
        <v>0</v>
      </c>
      <c r="Q61" s="6">
        <v>1</v>
      </c>
      <c r="R61" s="6">
        <v>1</v>
      </c>
    </row>
    <row r="62" spans="1:18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1</v>
      </c>
      <c r="M62" s="6">
        <v>1</v>
      </c>
      <c r="N62" s="6">
        <v>0</v>
      </c>
      <c r="O62" s="6">
        <v>0</v>
      </c>
      <c r="P62" s="6">
        <v>0</v>
      </c>
      <c r="Q62" s="6">
        <v>1</v>
      </c>
      <c r="R62" s="6">
        <v>1</v>
      </c>
    </row>
    <row r="63" spans="1:18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1</v>
      </c>
      <c r="M63" s="6">
        <v>1</v>
      </c>
      <c r="N63" s="6">
        <v>0</v>
      </c>
      <c r="O63" s="6">
        <v>0</v>
      </c>
      <c r="P63" s="6">
        <v>0</v>
      </c>
      <c r="Q63" s="6">
        <v>1</v>
      </c>
      <c r="R63" s="6">
        <v>1</v>
      </c>
    </row>
    <row r="64" spans="1:18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1</v>
      </c>
      <c r="M64" s="6">
        <v>1</v>
      </c>
      <c r="N64" s="6">
        <v>0</v>
      </c>
      <c r="O64" s="6">
        <v>0</v>
      </c>
      <c r="P64" s="6">
        <v>0</v>
      </c>
      <c r="Q64" s="6">
        <v>1</v>
      </c>
      <c r="R64" s="6">
        <v>1</v>
      </c>
    </row>
    <row r="65" spans="1:18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1</v>
      </c>
      <c r="M65" s="6">
        <v>1</v>
      </c>
      <c r="N65" s="6">
        <v>0</v>
      </c>
      <c r="O65" s="6">
        <v>0</v>
      </c>
      <c r="P65" s="6">
        <v>0</v>
      </c>
      <c r="Q65" s="6">
        <v>1</v>
      </c>
      <c r="R65" s="6">
        <v>1</v>
      </c>
    </row>
    <row r="66" spans="1:18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1</v>
      </c>
      <c r="M66" s="6">
        <v>1</v>
      </c>
      <c r="N66" s="6">
        <v>0</v>
      </c>
      <c r="O66" s="6">
        <v>0</v>
      </c>
      <c r="P66" s="6">
        <v>0</v>
      </c>
      <c r="Q66" s="6">
        <v>1</v>
      </c>
      <c r="R66" s="6">
        <v>1</v>
      </c>
    </row>
    <row r="67" spans="1:18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1</v>
      </c>
      <c r="L67" s="6">
        <v>1</v>
      </c>
      <c r="M67" s="6">
        <v>1</v>
      </c>
      <c r="N67" s="6">
        <v>0</v>
      </c>
      <c r="O67" s="6">
        <v>0</v>
      </c>
      <c r="P67" s="6">
        <v>0</v>
      </c>
      <c r="Q67" s="6">
        <v>1</v>
      </c>
      <c r="R67" s="6">
        <v>1</v>
      </c>
    </row>
    <row r="68" spans="1:18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1</v>
      </c>
      <c r="L68" s="6">
        <v>1</v>
      </c>
      <c r="M68" s="6">
        <v>1</v>
      </c>
      <c r="N68" s="6">
        <v>0</v>
      </c>
      <c r="O68" s="6">
        <v>0</v>
      </c>
      <c r="P68" s="6">
        <v>0</v>
      </c>
      <c r="Q68" s="6">
        <v>1</v>
      </c>
      <c r="R68" s="6">
        <v>1</v>
      </c>
    </row>
    <row r="69" spans="1:18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1</v>
      </c>
      <c r="L69" s="6">
        <v>1</v>
      </c>
      <c r="M69" s="6">
        <v>1</v>
      </c>
      <c r="N69" s="6">
        <v>0</v>
      </c>
      <c r="O69" s="6">
        <v>0</v>
      </c>
      <c r="P69" s="6">
        <v>0</v>
      </c>
      <c r="Q69" s="6">
        <v>1</v>
      </c>
      <c r="R69" s="6">
        <v>1</v>
      </c>
    </row>
    <row r="70" spans="1:18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1</v>
      </c>
      <c r="L70" s="6">
        <v>1</v>
      </c>
      <c r="M70" s="6">
        <v>1</v>
      </c>
      <c r="N70" s="6">
        <v>0</v>
      </c>
      <c r="O70" s="6">
        <v>0</v>
      </c>
      <c r="P70" s="6">
        <v>0</v>
      </c>
      <c r="Q70" s="6">
        <v>1</v>
      </c>
      <c r="R70" s="6">
        <v>1</v>
      </c>
    </row>
    <row r="71" spans="1:18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1</v>
      </c>
      <c r="G71" s="6">
        <v>0</v>
      </c>
      <c r="H71" s="6">
        <v>1</v>
      </c>
      <c r="I71" s="6">
        <v>0</v>
      </c>
      <c r="J71" s="6">
        <v>0</v>
      </c>
      <c r="K71" s="6">
        <v>1</v>
      </c>
      <c r="L71" s="6">
        <v>1</v>
      </c>
      <c r="M71" s="6">
        <v>1</v>
      </c>
      <c r="N71" s="6">
        <v>0</v>
      </c>
      <c r="O71" s="6">
        <v>0</v>
      </c>
      <c r="P71" s="6">
        <v>0</v>
      </c>
      <c r="Q71" s="6">
        <v>1</v>
      </c>
      <c r="R71" s="6">
        <v>1</v>
      </c>
    </row>
    <row r="72" spans="1:18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1</v>
      </c>
      <c r="G72" s="6">
        <v>0</v>
      </c>
      <c r="H72" s="6">
        <v>1</v>
      </c>
      <c r="I72" s="6">
        <v>0</v>
      </c>
      <c r="J72" s="6">
        <v>0</v>
      </c>
      <c r="K72" s="6">
        <v>1</v>
      </c>
      <c r="L72" s="6">
        <v>1</v>
      </c>
      <c r="M72" s="6">
        <v>1</v>
      </c>
      <c r="N72" s="6">
        <v>0</v>
      </c>
      <c r="O72" s="6">
        <v>0</v>
      </c>
      <c r="P72" s="6">
        <v>0</v>
      </c>
      <c r="Q72" s="6">
        <v>1</v>
      </c>
      <c r="R72" s="6">
        <v>1</v>
      </c>
    </row>
    <row r="73" spans="1:18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1</v>
      </c>
      <c r="G73" s="6">
        <v>0</v>
      </c>
      <c r="H73" s="6">
        <v>1</v>
      </c>
      <c r="I73" s="6">
        <v>0</v>
      </c>
      <c r="J73" s="6">
        <v>0</v>
      </c>
      <c r="K73" s="6">
        <v>1</v>
      </c>
      <c r="L73" s="6">
        <v>1</v>
      </c>
      <c r="M73" s="6">
        <v>1</v>
      </c>
      <c r="N73" s="6">
        <v>0</v>
      </c>
      <c r="O73" s="6">
        <v>0</v>
      </c>
      <c r="P73" s="6">
        <v>0</v>
      </c>
      <c r="Q73" s="6">
        <v>1</v>
      </c>
      <c r="R73" s="6">
        <v>1</v>
      </c>
    </row>
    <row r="74" spans="1:18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1</v>
      </c>
      <c r="G74" s="6">
        <v>0</v>
      </c>
      <c r="H74" s="6">
        <v>1</v>
      </c>
      <c r="I74" s="6">
        <v>0</v>
      </c>
      <c r="J74" s="6">
        <v>0</v>
      </c>
      <c r="K74" s="6">
        <v>1</v>
      </c>
      <c r="L74" s="6">
        <v>1</v>
      </c>
      <c r="M74" s="6">
        <v>1</v>
      </c>
      <c r="N74" s="6">
        <v>0</v>
      </c>
      <c r="O74" s="6">
        <v>0</v>
      </c>
      <c r="P74" s="6">
        <v>0</v>
      </c>
      <c r="Q74" s="6">
        <v>1</v>
      </c>
      <c r="R74" s="6">
        <v>1</v>
      </c>
    </row>
    <row r="75" spans="1:18" ht="19.5" thickBot="1">
      <c r="A75" s="5">
        <v>0.75</v>
      </c>
      <c r="B75" s="6">
        <v>3</v>
      </c>
      <c r="C75" s="6">
        <v>0</v>
      </c>
      <c r="D75" s="6">
        <v>0</v>
      </c>
      <c r="E75" s="6">
        <v>0</v>
      </c>
      <c r="F75" s="6">
        <v>1</v>
      </c>
      <c r="G75" s="6">
        <v>0</v>
      </c>
      <c r="H75" s="6">
        <v>1</v>
      </c>
      <c r="I75" s="6">
        <v>0</v>
      </c>
      <c r="J75" s="6">
        <v>0</v>
      </c>
      <c r="K75" s="6">
        <v>1</v>
      </c>
      <c r="L75" s="6">
        <v>1</v>
      </c>
      <c r="M75" s="6">
        <v>1</v>
      </c>
      <c r="N75" s="6">
        <v>0</v>
      </c>
      <c r="O75" s="6">
        <v>0</v>
      </c>
      <c r="P75" s="6">
        <v>0</v>
      </c>
      <c r="Q75" s="6">
        <v>1</v>
      </c>
      <c r="R75" s="6">
        <v>1</v>
      </c>
    </row>
    <row r="76" spans="1:18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0</v>
      </c>
      <c r="F76" s="6">
        <v>1</v>
      </c>
      <c r="G76" s="6">
        <v>0</v>
      </c>
      <c r="H76" s="6">
        <v>1</v>
      </c>
      <c r="I76" s="6">
        <v>0</v>
      </c>
      <c r="J76" s="6">
        <v>0</v>
      </c>
      <c r="K76" s="6">
        <v>1</v>
      </c>
      <c r="L76" s="6">
        <v>1</v>
      </c>
      <c r="M76" s="6">
        <v>1</v>
      </c>
      <c r="N76" s="6">
        <v>0</v>
      </c>
      <c r="O76" s="6">
        <v>0</v>
      </c>
      <c r="P76" s="6">
        <v>0</v>
      </c>
      <c r="Q76" s="6">
        <v>1</v>
      </c>
      <c r="R76" s="6">
        <v>1</v>
      </c>
    </row>
    <row r="77" spans="1:18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0</v>
      </c>
      <c r="F77" s="6">
        <v>1</v>
      </c>
      <c r="G77" s="6">
        <v>0</v>
      </c>
      <c r="H77" s="6">
        <v>1</v>
      </c>
      <c r="I77" s="6">
        <v>0</v>
      </c>
      <c r="J77" s="6">
        <v>0</v>
      </c>
      <c r="K77" s="6">
        <v>1</v>
      </c>
      <c r="L77" s="6">
        <v>1</v>
      </c>
      <c r="M77" s="6">
        <v>1</v>
      </c>
      <c r="N77" s="6">
        <v>0</v>
      </c>
      <c r="O77" s="6">
        <v>0</v>
      </c>
      <c r="P77" s="6">
        <v>0</v>
      </c>
      <c r="Q77" s="6">
        <v>1</v>
      </c>
      <c r="R77" s="6">
        <v>1</v>
      </c>
    </row>
    <row r="78" spans="1:18" ht="19.5" thickBot="1">
      <c r="A78" s="5">
        <v>0.78125</v>
      </c>
      <c r="B78" s="6">
        <v>3</v>
      </c>
      <c r="C78" s="6">
        <v>0</v>
      </c>
      <c r="D78" s="6">
        <v>0</v>
      </c>
      <c r="E78" s="6">
        <v>0</v>
      </c>
      <c r="F78" s="6">
        <v>1</v>
      </c>
      <c r="G78" s="6">
        <v>0</v>
      </c>
      <c r="H78" s="6">
        <v>1</v>
      </c>
      <c r="I78" s="6">
        <v>0</v>
      </c>
      <c r="J78" s="6">
        <v>0</v>
      </c>
      <c r="K78" s="6">
        <v>1</v>
      </c>
      <c r="L78" s="6">
        <v>1</v>
      </c>
      <c r="M78" s="6">
        <v>1</v>
      </c>
      <c r="N78" s="6">
        <v>0</v>
      </c>
      <c r="O78" s="6">
        <v>0</v>
      </c>
      <c r="P78" s="6">
        <v>0</v>
      </c>
      <c r="Q78" s="6">
        <v>1</v>
      </c>
      <c r="R78" s="6">
        <v>1</v>
      </c>
    </row>
    <row r="79" spans="1:18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0</v>
      </c>
      <c r="F79" s="6">
        <v>1</v>
      </c>
      <c r="G79" s="6">
        <v>0</v>
      </c>
      <c r="H79" s="6">
        <v>1</v>
      </c>
      <c r="I79" s="6">
        <v>0</v>
      </c>
      <c r="J79" s="6">
        <v>0</v>
      </c>
      <c r="K79" s="6">
        <v>1</v>
      </c>
      <c r="L79" s="6">
        <v>1</v>
      </c>
      <c r="M79" s="6">
        <v>1</v>
      </c>
      <c r="N79" s="6">
        <v>0</v>
      </c>
      <c r="O79" s="6">
        <v>0</v>
      </c>
      <c r="P79" s="6">
        <v>0</v>
      </c>
      <c r="Q79" s="6">
        <v>1</v>
      </c>
      <c r="R79" s="6">
        <v>1</v>
      </c>
    </row>
    <row r="80" spans="1:18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0</v>
      </c>
      <c r="F80" s="6">
        <v>1</v>
      </c>
      <c r="G80" s="6">
        <v>0</v>
      </c>
      <c r="H80" s="6">
        <v>1</v>
      </c>
      <c r="I80" s="6">
        <v>0</v>
      </c>
      <c r="J80" s="6">
        <v>0</v>
      </c>
      <c r="K80" s="6">
        <v>1</v>
      </c>
      <c r="L80" s="6">
        <v>1</v>
      </c>
      <c r="M80" s="6">
        <v>1</v>
      </c>
      <c r="N80" s="6">
        <v>0</v>
      </c>
      <c r="O80" s="6">
        <v>0</v>
      </c>
      <c r="P80" s="6">
        <v>0</v>
      </c>
      <c r="Q80" s="6">
        <v>1</v>
      </c>
      <c r="R80" s="6">
        <v>1</v>
      </c>
    </row>
    <row r="81" spans="1:18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1</v>
      </c>
      <c r="G81" s="6">
        <v>0</v>
      </c>
      <c r="H81" s="6">
        <v>1</v>
      </c>
      <c r="I81" s="6">
        <v>0</v>
      </c>
      <c r="J81" s="6">
        <v>0</v>
      </c>
      <c r="K81" s="6">
        <v>1</v>
      </c>
      <c r="L81" s="6">
        <v>1</v>
      </c>
      <c r="M81" s="6">
        <v>1</v>
      </c>
      <c r="N81" s="6">
        <v>0</v>
      </c>
      <c r="O81" s="6">
        <v>0</v>
      </c>
      <c r="P81" s="6">
        <v>0</v>
      </c>
      <c r="Q81" s="6">
        <v>1</v>
      </c>
      <c r="R81" s="6">
        <v>1</v>
      </c>
    </row>
    <row r="82" spans="1:18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1</v>
      </c>
      <c r="G82" s="6">
        <v>0</v>
      </c>
      <c r="H82" s="6">
        <v>1</v>
      </c>
      <c r="I82" s="6">
        <v>0</v>
      </c>
      <c r="J82" s="6">
        <v>0</v>
      </c>
      <c r="K82" s="6">
        <v>1</v>
      </c>
      <c r="L82" s="6">
        <v>1</v>
      </c>
      <c r="M82" s="6">
        <v>1</v>
      </c>
      <c r="N82" s="6">
        <v>0</v>
      </c>
      <c r="O82" s="6">
        <v>0</v>
      </c>
      <c r="P82" s="6">
        <v>0</v>
      </c>
      <c r="Q82" s="6">
        <v>1</v>
      </c>
      <c r="R82" s="6">
        <v>1</v>
      </c>
    </row>
    <row r="83" spans="1:18" ht="19.5" thickBot="1">
      <c r="A83" s="5">
        <v>0.83333333333333337</v>
      </c>
      <c r="B83" s="6">
        <v>3</v>
      </c>
      <c r="C83" s="6">
        <v>1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2</v>
      </c>
      <c r="L83" s="6">
        <v>2</v>
      </c>
      <c r="M83" s="6">
        <v>2</v>
      </c>
      <c r="N83" s="6">
        <v>0</v>
      </c>
      <c r="O83" s="6">
        <v>0</v>
      </c>
      <c r="P83" s="6">
        <v>0</v>
      </c>
      <c r="Q83" s="6">
        <v>1</v>
      </c>
      <c r="R83" s="6">
        <v>1</v>
      </c>
    </row>
    <row r="84" spans="1:18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2</v>
      </c>
      <c r="L84" s="6">
        <v>2</v>
      </c>
      <c r="M84" s="6">
        <v>2</v>
      </c>
      <c r="N84" s="6">
        <v>0</v>
      </c>
      <c r="O84" s="6">
        <v>0</v>
      </c>
      <c r="P84" s="6">
        <v>0</v>
      </c>
      <c r="Q84" s="6">
        <v>1</v>
      </c>
      <c r="R84" s="6">
        <v>1</v>
      </c>
    </row>
    <row r="85" spans="1:18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2</v>
      </c>
      <c r="L85" s="6">
        <v>2</v>
      </c>
      <c r="M85" s="6">
        <v>2</v>
      </c>
      <c r="N85" s="6">
        <v>0</v>
      </c>
      <c r="O85" s="6">
        <v>0</v>
      </c>
      <c r="P85" s="6">
        <v>0</v>
      </c>
      <c r="Q85" s="6">
        <v>1</v>
      </c>
      <c r="R85" s="6">
        <v>1</v>
      </c>
    </row>
    <row r="86" spans="1:18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2</v>
      </c>
      <c r="L86" s="6">
        <v>2</v>
      </c>
      <c r="M86" s="6">
        <v>2</v>
      </c>
      <c r="N86" s="6">
        <v>0</v>
      </c>
      <c r="O86" s="6">
        <v>0</v>
      </c>
      <c r="P86" s="6">
        <v>0</v>
      </c>
      <c r="Q86" s="6">
        <v>1</v>
      </c>
      <c r="R86" s="6">
        <v>1</v>
      </c>
    </row>
    <row r="87" spans="1:18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2</v>
      </c>
      <c r="L87" s="6">
        <v>2</v>
      </c>
      <c r="M87" s="6">
        <v>2</v>
      </c>
      <c r="N87" s="6">
        <v>0</v>
      </c>
      <c r="O87" s="6">
        <v>0</v>
      </c>
      <c r="P87" s="6">
        <v>0</v>
      </c>
      <c r="Q87" s="6">
        <v>1</v>
      </c>
      <c r="R87" s="6">
        <v>1</v>
      </c>
    </row>
    <row r="88" spans="1:18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2</v>
      </c>
      <c r="L88" s="6">
        <v>2</v>
      </c>
      <c r="M88" s="6">
        <v>1</v>
      </c>
      <c r="N88" s="6">
        <v>0</v>
      </c>
      <c r="O88" s="6">
        <v>0</v>
      </c>
      <c r="P88" s="6">
        <v>0</v>
      </c>
      <c r="Q88" s="6">
        <v>1</v>
      </c>
      <c r="R88" s="6">
        <v>1</v>
      </c>
    </row>
    <row r="89" spans="1:18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2</v>
      </c>
      <c r="L89" s="6">
        <v>2</v>
      </c>
      <c r="M89" s="6">
        <v>1</v>
      </c>
      <c r="N89" s="6">
        <v>0</v>
      </c>
      <c r="O89" s="6">
        <v>0</v>
      </c>
      <c r="P89" s="6">
        <v>0</v>
      </c>
      <c r="Q89" s="6">
        <v>1</v>
      </c>
      <c r="R89" s="6">
        <v>1</v>
      </c>
    </row>
    <row r="90" spans="1:18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1</v>
      </c>
      <c r="L90" s="6">
        <v>1</v>
      </c>
      <c r="M90" s="6">
        <v>1</v>
      </c>
      <c r="N90" s="6">
        <v>0</v>
      </c>
      <c r="O90" s="6">
        <v>0</v>
      </c>
      <c r="P90" s="6">
        <v>1</v>
      </c>
      <c r="Q90" s="6">
        <v>1</v>
      </c>
      <c r="R90" s="6">
        <v>1</v>
      </c>
    </row>
    <row r="91" spans="1:18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1</v>
      </c>
      <c r="G91" s="6">
        <v>0</v>
      </c>
      <c r="H91" s="6">
        <v>2</v>
      </c>
      <c r="I91" s="6">
        <v>0</v>
      </c>
      <c r="J91" s="6">
        <v>0</v>
      </c>
      <c r="K91" s="6">
        <v>1</v>
      </c>
      <c r="L91" s="6">
        <v>1</v>
      </c>
      <c r="M91" s="6">
        <v>1</v>
      </c>
      <c r="N91" s="6">
        <v>1</v>
      </c>
      <c r="O91" s="6">
        <v>0</v>
      </c>
      <c r="P91" s="6">
        <v>0</v>
      </c>
      <c r="Q91" s="6">
        <v>1</v>
      </c>
      <c r="R91" s="6">
        <v>1</v>
      </c>
    </row>
    <row r="92" spans="1:18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1</v>
      </c>
      <c r="G92" s="6">
        <v>0</v>
      </c>
      <c r="H92" s="6">
        <v>1</v>
      </c>
      <c r="I92" s="6">
        <v>0</v>
      </c>
      <c r="J92" s="6">
        <v>0</v>
      </c>
      <c r="K92" s="6">
        <v>1</v>
      </c>
      <c r="L92" s="6">
        <v>1</v>
      </c>
      <c r="M92" s="6">
        <v>1</v>
      </c>
      <c r="N92" s="6">
        <v>1</v>
      </c>
      <c r="O92" s="6">
        <v>0</v>
      </c>
      <c r="P92" s="6">
        <v>0</v>
      </c>
      <c r="Q92" s="6">
        <v>1</v>
      </c>
      <c r="R92" s="6">
        <v>1</v>
      </c>
    </row>
    <row r="93" spans="1:18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0</v>
      </c>
      <c r="H93" s="6">
        <v>1</v>
      </c>
      <c r="I93" s="6">
        <v>0</v>
      </c>
      <c r="J93" s="6">
        <v>0</v>
      </c>
      <c r="K93" s="6">
        <v>1</v>
      </c>
      <c r="L93" s="6">
        <v>1</v>
      </c>
      <c r="M93" s="6">
        <v>1</v>
      </c>
      <c r="N93" s="6">
        <v>1</v>
      </c>
      <c r="O93" s="6">
        <v>0</v>
      </c>
      <c r="P93" s="6">
        <v>0</v>
      </c>
      <c r="Q93" s="6">
        <v>1</v>
      </c>
      <c r="R93" s="6">
        <v>1</v>
      </c>
    </row>
    <row r="94" spans="1:18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0</v>
      </c>
      <c r="H94" s="6">
        <v>1</v>
      </c>
      <c r="I94" s="6">
        <v>0</v>
      </c>
      <c r="J94" s="6">
        <v>0</v>
      </c>
      <c r="K94" s="6">
        <v>1</v>
      </c>
      <c r="L94" s="6">
        <v>1</v>
      </c>
      <c r="M94" s="6">
        <v>1</v>
      </c>
      <c r="N94" s="6">
        <v>1</v>
      </c>
      <c r="O94" s="6">
        <v>0</v>
      </c>
      <c r="P94" s="6">
        <v>0</v>
      </c>
      <c r="Q94" s="6">
        <v>1</v>
      </c>
      <c r="R94" s="6">
        <v>1</v>
      </c>
    </row>
    <row r="95" spans="1:18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1</v>
      </c>
      <c r="M95" s="6">
        <v>1</v>
      </c>
      <c r="N95" s="6">
        <v>0</v>
      </c>
      <c r="O95" s="6">
        <v>0</v>
      </c>
      <c r="P95" s="6">
        <v>1</v>
      </c>
      <c r="Q95" s="6">
        <v>1</v>
      </c>
      <c r="R95" s="6">
        <v>1</v>
      </c>
    </row>
    <row r="96" spans="1:18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1</v>
      </c>
      <c r="M96" s="6">
        <v>1</v>
      </c>
      <c r="N96" s="6">
        <v>0</v>
      </c>
      <c r="O96" s="6">
        <v>0</v>
      </c>
      <c r="P96" s="6">
        <v>0</v>
      </c>
      <c r="Q96" s="6">
        <v>1</v>
      </c>
      <c r="R96" s="6">
        <v>1</v>
      </c>
    </row>
    <row r="97" spans="1:18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1</v>
      </c>
      <c r="M97" s="6">
        <v>1</v>
      </c>
      <c r="N97" s="6">
        <v>0</v>
      </c>
      <c r="O97" s="6">
        <v>0</v>
      </c>
      <c r="P97" s="6">
        <v>0</v>
      </c>
      <c r="Q97" s="6">
        <v>1</v>
      </c>
      <c r="R97" s="6">
        <v>1</v>
      </c>
    </row>
    <row r="98" spans="1:18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1</v>
      </c>
      <c r="M98" s="6">
        <v>1</v>
      </c>
      <c r="N98" s="6">
        <v>0</v>
      </c>
      <c r="O98" s="6">
        <v>0</v>
      </c>
      <c r="P98" s="6">
        <v>0</v>
      </c>
      <c r="Q98" s="6">
        <v>1</v>
      </c>
      <c r="R98" s="6">
        <v>1</v>
      </c>
    </row>
  </sheetData>
  <mergeCells count="6">
    <mergeCell ref="B1:E1"/>
    <mergeCell ref="F1:I1"/>
    <mergeCell ref="K1:L1"/>
    <mergeCell ref="M1:N1"/>
    <mergeCell ref="O1:P1"/>
    <mergeCell ref="Q1:R1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21A2F-0F67-44D2-A568-F00BC4DAE916}">
  <sheetPr codeName="Sheet6">
    <tabColor rgb="FFFFFFCC"/>
  </sheetPr>
  <dimension ref="A1:P98"/>
  <sheetViews>
    <sheetView topLeftCell="A79" workbookViewId="0">
      <selection activeCell="P29" sqref="P29"/>
    </sheetView>
  </sheetViews>
  <sheetFormatPr defaultRowHeight="18.75"/>
  <sheetData>
    <row r="1" spans="1:16" ht="19.5" thickBot="1">
      <c r="A1" s="1" t="s">
        <v>19</v>
      </c>
      <c r="B1" s="8" t="s">
        <v>20</v>
      </c>
      <c r="C1" s="7"/>
      <c r="D1" s="7"/>
      <c r="E1" s="9"/>
      <c r="F1" s="8" t="s">
        <v>21</v>
      </c>
      <c r="G1" s="7"/>
      <c r="H1" s="7"/>
      <c r="I1" s="9"/>
      <c r="J1" s="2" t="s">
        <v>22</v>
      </c>
      <c r="K1" s="8" t="s">
        <v>24</v>
      </c>
      <c r="L1" s="9"/>
      <c r="M1" s="8" t="s">
        <v>25</v>
      </c>
      <c r="N1" s="9"/>
      <c r="O1" s="8" t="s">
        <v>26</v>
      </c>
      <c r="P1" s="9"/>
    </row>
    <row r="2" spans="1:16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39</v>
      </c>
      <c r="L2" s="4" t="s">
        <v>40</v>
      </c>
      <c r="M2" s="4" t="s">
        <v>41</v>
      </c>
      <c r="N2" s="4" t="s">
        <v>42</v>
      </c>
      <c r="O2" s="4" t="s">
        <v>43</v>
      </c>
      <c r="P2" s="4" t="s">
        <v>43</v>
      </c>
    </row>
    <row r="3" spans="1:16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0</v>
      </c>
      <c r="M3" s="6">
        <v>0</v>
      </c>
      <c r="N3" s="6">
        <v>0</v>
      </c>
      <c r="O3" s="6">
        <v>1</v>
      </c>
      <c r="P3" s="6">
        <v>1</v>
      </c>
    </row>
    <row r="4" spans="1:16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0</v>
      </c>
      <c r="M4" s="6">
        <v>0</v>
      </c>
      <c r="N4" s="6">
        <v>0</v>
      </c>
      <c r="O4" s="6">
        <v>1</v>
      </c>
      <c r="P4" s="6">
        <v>1</v>
      </c>
    </row>
    <row r="5" spans="1:16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0</v>
      </c>
      <c r="M5" s="6">
        <v>0</v>
      </c>
      <c r="N5" s="6">
        <v>0</v>
      </c>
      <c r="O5" s="6">
        <v>1</v>
      </c>
      <c r="P5" s="6">
        <v>1</v>
      </c>
    </row>
    <row r="6" spans="1:16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0</v>
      </c>
      <c r="M6" s="6">
        <v>0</v>
      </c>
      <c r="N6" s="6">
        <v>0</v>
      </c>
      <c r="O6" s="6">
        <v>1</v>
      </c>
      <c r="P6" s="6">
        <v>1</v>
      </c>
    </row>
    <row r="7" spans="1:16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0</v>
      </c>
      <c r="M7" s="6">
        <v>0</v>
      </c>
      <c r="N7" s="6">
        <v>0</v>
      </c>
      <c r="O7" s="6">
        <v>1</v>
      </c>
      <c r="P7" s="6">
        <v>1</v>
      </c>
    </row>
    <row r="8" spans="1:16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0</v>
      </c>
      <c r="M8" s="6">
        <v>0</v>
      </c>
      <c r="N8" s="6">
        <v>0</v>
      </c>
      <c r="O8" s="6">
        <v>1</v>
      </c>
      <c r="P8" s="6">
        <v>1</v>
      </c>
    </row>
    <row r="9" spans="1:16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0</v>
      </c>
      <c r="M9" s="6">
        <v>0</v>
      </c>
      <c r="N9" s="6">
        <v>0</v>
      </c>
      <c r="O9" s="6">
        <v>1</v>
      </c>
      <c r="P9" s="6">
        <v>1</v>
      </c>
    </row>
    <row r="10" spans="1:16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0</v>
      </c>
      <c r="M10" s="6">
        <v>0</v>
      </c>
      <c r="N10" s="6">
        <v>0</v>
      </c>
      <c r="O10" s="6">
        <v>1</v>
      </c>
      <c r="P10" s="6">
        <v>1</v>
      </c>
    </row>
    <row r="11" spans="1:16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0</v>
      </c>
      <c r="M11" s="6">
        <v>0</v>
      </c>
      <c r="N11" s="6">
        <v>0</v>
      </c>
      <c r="O11" s="6">
        <v>1</v>
      </c>
      <c r="P11" s="6">
        <v>1</v>
      </c>
    </row>
    <row r="12" spans="1:16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0</v>
      </c>
      <c r="M12" s="6">
        <v>0</v>
      </c>
      <c r="N12" s="6">
        <v>0</v>
      </c>
      <c r="O12" s="6">
        <v>1</v>
      </c>
      <c r="P12" s="6">
        <v>1</v>
      </c>
    </row>
    <row r="13" spans="1:16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0</v>
      </c>
      <c r="M13" s="6">
        <v>0</v>
      </c>
      <c r="N13" s="6">
        <v>0</v>
      </c>
      <c r="O13" s="6">
        <v>1</v>
      </c>
      <c r="P13" s="6">
        <v>1</v>
      </c>
    </row>
    <row r="14" spans="1:16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0</v>
      </c>
      <c r="M14" s="6">
        <v>0</v>
      </c>
      <c r="N14" s="6">
        <v>0</v>
      </c>
      <c r="O14" s="6">
        <v>1</v>
      </c>
      <c r="P14" s="6">
        <v>1</v>
      </c>
    </row>
    <row r="15" spans="1:16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0</v>
      </c>
      <c r="M15" s="6">
        <v>0</v>
      </c>
      <c r="N15" s="6">
        <v>0</v>
      </c>
      <c r="O15" s="6">
        <v>1</v>
      </c>
      <c r="P15" s="6">
        <v>1</v>
      </c>
    </row>
    <row r="16" spans="1:16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0</v>
      </c>
      <c r="M16" s="6">
        <v>0</v>
      </c>
      <c r="N16" s="6">
        <v>0</v>
      </c>
      <c r="O16" s="6">
        <v>1</v>
      </c>
      <c r="P16" s="6">
        <v>1</v>
      </c>
    </row>
    <row r="17" spans="1:16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0</v>
      </c>
      <c r="M17" s="6">
        <v>0</v>
      </c>
      <c r="N17" s="6">
        <v>0</v>
      </c>
      <c r="O17" s="6">
        <v>1</v>
      </c>
      <c r="P17" s="6">
        <v>1</v>
      </c>
    </row>
    <row r="18" spans="1:16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0</v>
      </c>
      <c r="M18" s="6">
        <v>0</v>
      </c>
      <c r="N18" s="6">
        <v>0</v>
      </c>
      <c r="O18" s="6">
        <v>1</v>
      </c>
      <c r="P18" s="6">
        <v>1</v>
      </c>
    </row>
    <row r="19" spans="1:16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0</v>
      </c>
      <c r="M19" s="6">
        <v>0</v>
      </c>
      <c r="N19" s="6">
        <v>0</v>
      </c>
      <c r="O19" s="6">
        <v>1</v>
      </c>
      <c r="P19" s="6">
        <v>1</v>
      </c>
    </row>
    <row r="20" spans="1:16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0</v>
      </c>
      <c r="M20" s="6">
        <v>0</v>
      </c>
      <c r="N20" s="6">
        <v>0</v>
      </c>
      <c r="O20" s="6">
        <v>1</v>
      </c>
      <c r="P20" s="6">
        <v>1</v>
      </c>
    </row>
    <row r="21" spans="1:16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0</v>
      </c>
      <c r="M21" s="6">
        <v>0</v>
      </c>
      <c r="N21" s="6">
        <v>0</v>
      </c>
      <c r="O21" s="6">
        <v>1</v>
      </c>
      <c r="P21" s="6">
        <v>1</v>
      </c>
    </row>
    <row r="22" spans="1:16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0</v>
      </c>
      <c r="M22" s="6">
        <v>0</v>
      </c>
      <c r="N22" s="6">
        <v>0</v>
      </c>
      <c r="O22" s="6">
        <v>1</v>
      </c>
      <c r="P22" s="6">
        <v>1</v>
      </c>
    </row>
    <row r="23" spans="1:16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0</v>
      </c>
      <c r="M23" s="6">
        <v>0</v>
      </c>
      <c r="N23" s="6">
        <v>0</v>
      </c>
      <c r="O23" s="6">
        <v>1</v>
      </c>
      <c r="P23" s="6">
        <v>1</v>
      </c>
    </row>
    <row r="24" spans="1:16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0</v>
      </c>
      <c r="M24" s="6">
        <v>0</v>
      </c>
      <c r="N24" s="6">
        <v>0</v>
      </c>
      <c r="O24" s="6">
        <v>1</v>
      </c>
      <c r="P24" s="6">
        <v>1</v>
      </c>
    </row>
    <row r="25" spans="1:16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0</v>
      </c>
      <c r="M25" s="6">
        <v>0</v>
      </c>
      <c r="N25" s="6">
        <v>0</v>
      </c>
      <c r="O25" s="6">
        <v>1</v>
      </c>
      <c r="P25" s="6">
        <v>1</v>
      </c>
    </row>
    <row r="26" spans="1:16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0</v>
      </c>
      <c r="M26" s="6">
        <v>0</v>
      </c>
      <c r="N26" s="6">
        <v>0</v>
      </c>
      <c r="O26" s="6">
        <v>1</v>
      </c>
      <c r="P26" s="6">
        <v>1</v>
      </c>
    </row>
    <row r="27" spans="1:16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0</v>
      </c>
      <c r="M27" s="6">
        <v>0</v>
      </c>
      <c r="N27" s="6">
        <v>0</v>
      </c>
      <c r="O27" s="6">
        <v>1</v>
      </c>
      <c r="P27" s="6">
        <v>1</v>
      </c>
    </row>
    <row r="28" spans="1:16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0</v>
      </c>
      <c r="M28" s="6">
        <v>0</v>
      </c>
      <c r="N28" s="6">
        <v>0</v>
      </c>
      <c r="O28" s="6">
        <v>1</v>
      </c>
      <c r="P28" s="6">
        <v>1</v>
      </c>
    </row>
    <row r="29" spans="1:16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0</v>
      </c>
      <c r="M29" s="6">
        <v>0</v>
      </c>
      <c r="N29" s="6">
        <v>1</v>
      </c>
      <c r="O29" s="6">
        <v>1</v>
      </c>
      <c r="P29" s="6">
        <v>1</v>
      </c>
    </row>
    <row r="30" spans="1:16" ht="19.5" thickBot="1">
      <c r="A30" s="5">
        <v>0.28125</v>
      </c>
      <c r="B30" s="6">
        <v>3</v>
      </c>
      <c r="C30" s="6">
        <v>1</v>
      </c>
      <c r="D30" s="6">
        <v>1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0</v>
      </c>
      <c r="M30" s="6">
        <v>0</v>
      </c>
      <c r="N30" s="6">
        <v>0</v>
      </c>
      <c r="O30" s="6">
        <v>1</v>
      </c>
      <c r="P30" s="6">
        <v>1</v>
      </c>
    </row>
    <row r="31" spans="1:16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0</v>
      </c>
      <c r="M31" s="6">
        <v>0</v>
      </c>
      <c r="N31" s="6">
        <v>1</v>
      </c>
      <c r="O31" s="6">
        <v>1</v>
      </c>
      <c r="P31" s="6">
        <v>1</v>
      </c>
    </row>
    <row r="32" spans="1:16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0</v>
      </c>
      <c r="M32" s="6">
        <v>0</v>
      </c>
      <c r="N32" s="6">
        <v>1</v>
      </c>
      <c r="O32" s="6">
        <v>1</v>
      </c>
      <c r="P32" s="6">
        <v>1</v>
      </c>
    </row>
    <row r="33" spans="1:16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0</v>
      </c>
      <c r="J33" s="6">
        <v>0</v>
      </c>
      <c r="K33" s="6">
        <v>1</v>
      </c>
      <c r="L33" s="6">
        <v>0</v>
      </c>
      <c r="M33" s="6">
        <v>0</v>
      </c>
      <c r="N33" s="6">
        <v>0</v>
      </c>
      <c r="O33" s="6">
        <v>1</v>
      </c>
      <c r="P33" s="6">
        <v>1</v>
      </c>
    </row>
    <row r="34" spans="1:16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1</v>
      </c>
      <c r="N34" s="6">
        <v>0</v>
      </c>
      <c r="O34" s="6">
        <v>1</v>
      </c>
      <c r="P34" s="6">
        <v>1</v>
      </c>
    </row>
    <row r="35" spans="1:16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1</v>
      </c>
      <c r="N35" s="6">
        <v>0</v>
      </c>
      <c r="O35" s="6">
        <v>1</v>
      </c>
      <c r="P35" s="6">
        <v>1</v>
      </c>
    </row>
    <row r="36" spans="1:16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  <c r="N36" s="6">
        <v>0</v>
      </c>
      <c r="O36" s="6">
        <v>1</v>
      </c>
      <c r="P36" s="6">
        <v>1</v>
      </c>
    </row>
    <row r="37" spans="1:16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0</v>
      </c>
      <c r="M37" s="6">
        <v>0</v>
      </c>
      <c r="N37" s="6">
        <v>0</v>
      </c>
      <c r="O37" s="6">
        <v>1</v>
      </c>
      <c r="P37" s="6">
        <v>1</v>
      </c>
    </row>
    <row r="38" spans="1:16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0</v>
      </c>
      <c r="M38" s="6">
        <v>0</v>
      </c>
      <c r="N38" s="6">
        <v>0</v>
      </c>
      <c r="O38" s="6">
        <v>1</v>
      </c>
      <c r="P38" s="6">
        <v>1</v>
      </c>
    </row>
    <row r="39" spans="1:16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1</v>
      </c>
      <c r="J39" s="6">
        <v>0</v>
      </c>
      <c r="K39" s="6">
        <v>1</v>
      </c>
      <c r="L39" s="6">
        <v>0</v>
      </c>
      <c r="M39" s="6">
        <v>0</v>
      </c>
      <c r="N39" s="6">
        <v>0</v>
      </c>
      <c r="O39" s="6">
        <v>1</v>
      </c>
      <c r="P39" s="6">
        <v>1</v>
      </c>
    </row>
    <row r="40" spans="1:16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0</v>
      </c>
      <c r="J40" s="6">
        <v>0</v>
      </c>
      <c r="K40" s="6">
        <v>1</v>
      </c>
      <c r="L40" s="6">
        <v>0</v>
      </c>
      <c r="M40" s="6">
        <v>0</v>
      </c>
      <c r="N40" s="6">
        <v>0</v>
      </c>
      <c r="O40" s="6">
        <v>1</v>
      </c>
      <c r="P40" s="6">
        <v>1</v>
      </c>
    </row>
    <row r="41" spans="1:16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0</v>
      </c>
      <c r="M41" s="6">
        <v>0</v>
      </c>
      <c r="N41" s="6">
        <v>0</v>
      </c>
      <c r="O41" s="6">
        <v>1</v>
      </c>
      <c r="P41" s="6">
        <v>1</v>
      </c>
    </row>
    <row r="42" spans="1:16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1</v>
      </c>
      <c r="K42" s="6">
        <v>1</v>
      </c>
      <c r="L42" s="6">
        <v>0</v>
      </c>
      <c r="M42" s="6">
        <v>0</v>
      </c>
      <c r="N42" s="6">
        <v>0</v>
      </c>
      <c r="O42" s="6">
        <v>1</v>
      </c>
      <c r="P42" s="6">
        <v>1</v>
      </c>
    </row>
    <row r="43" spans="1:16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1</v>
      </c>
      <c r="L43" s="6">
        <v>0</v>
      </c>
      <c r="M43" s="6">
        <v>0</v>
      </c>
      <c r="N43" s="6">
        <v>0</v>
      </c>
      <c r="O43" s="6">
        <v>1</v>
      </c>
      <c r="P43" s="6">
        <v>1</v>
      </c>
    </row>
    <row r="44" spans="1:16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1</v>
      </c>
      <c r="L44" s="6">
        <v>0</v>
      </c>
      <c r="M44" s="6">
        <v>0</v>
      </c>
      <c r="N44" s="6">
        <v>0</v>
      </c>
      <c r="O44" s="6">
        <v>1</v>
      </c>
      <c r="P44" s="6">
        <v>1</v>
      </c>
    </row>
    <row r="45" spans="1:16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1</v>
      </c>
      <c r="L45" s="6">
        <v>0</v>
      </c>
      <c r="M45" s="6">
        <v>0</v>
      </c>
      <c r="N45" s="6">
        <v>0</v>
      </c>
      <c r="O45" s="6">
        <v>1</v>
      </c>
      <c r="P45" s="6">
        <v>1</v>
      </c>
    </row>
    <row r="46" spans="1:16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1</v>
      </c>
      <c r="L46" s="6">
        <v>0</v>
      </c>
      <c r="M46" s="6">
        <v>0</v>
      </c>
      <c r="N46" s="6">
        <v>0</v>
      </c>
      <c r="O46" s="6">
        <v>1</v>
      </c>
      <c r="P46" s="6">
        <v>1</v>
      </c>
    </row>
    <row r="47" spans="1:16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1</v>
      </c>
      <c r="L47" s="6">
        <v>0</v>
      </c>
      <c r="M47" s="6">
        <v>0</v>
      </c>
      <c r="N47" s="6">
        <v>0</v>
      </c>
      <c r="O47" s="6">
        <v>1</v>
      </c>
      <c r="P47" s="6">
        <v>1</v>
      </c>
    </row>
    <row r="48" spans="1:16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1</v>
      </c>
      <c r="L48" s="6">
        <v>0</v>
      </c>
      <c r="M48" s="6">
        <v>0</v>
      </c>
      <c r="N48" s="6">
        <v>0</v>
      </c>
      <c r="O48" s="6">
        <v>1</v>
      </c>
      <c r="P48" s="6">
        <v>1</v>
      </c>
    </row>
    <row r="49" spans="1:16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1</v>
      </c>
      <c r="L49" s="6">
        <v>0</v>
      </c>
      <c r="M49" s="6">
        <v>0</v>
      </c>
      <c r="N49" s="6">
        <v>0</v>
      </c>
      <c r="O49" s="6">
        <v>1</v>
      </c>
      <c r="P49" s="6">
        <v>1</v>
      </c>
    </row>
    <row r="50" spans="1:16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1</v>
      </c>
      <c r="L50" s="6">
        <v>0</v>
      </c>
      <c r="M50" s="6">
        <v>0</v>
      </c>
      <c r="N50" s="6">
        <v>0</v>
      </c>
      <c r="O50" s="6">
        <v>1</v>
      </c>
      <c r="P50" s="6">
        <v>1</v>
      </c>
    </row>
    <row r="51" spans="1:16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0</v>
      </c>
      <c r="M51" s="6">
        <v>0</v>
      </c>
      <c r="N51" s="6">
        <v>0</v>
      </c>
      <c r="O51" s="6">
        <v>1</v>
      </c>
      <c r="P51" s="6">
        <v>1</v>
      </c>
    </row>
    <row r="52" spans="1:16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0</v>
      </c>
      <c r="M52" s="6">
        <v>0</v>
      </c>
      <c r="N52" s="6">
        <v>0</v>
      </c>
      <c r="O52" s="6">
        <v>1</v>
      </c>
      <c r="P52" s="6">
        <v>1</v>
      </c>
    </row>
    <row r="53" spans="1:16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0</v>
      </c>
      <c r="M53" s="6">
        <v>0</v>
      </c>
      <c r="N53" s="6">
        <v>0</v>
      </c>
      <c r="O53" s="6">
        <v>1</v>
      </c>
      <c r="P53" s="6">
        <v>1</v>
      </c>
    </row>
    <row r="54" spans="1:16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0</v>
      </c>
      <c r="M54" s="6">
        <v>0</v>
      </c>
      <c r="N54" s="6">
        <v>0</v>
      </c>
      <c r="O54" s="6">
        <v>1</v>
      </c>
      <c r="P54" s="6">
        <v>1</v>
      </c>
    </row>
    <row r="55" spans="1:16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0</v>
      </c>
      <c r="M55" s="6">
        <v>0</v>
      </c>
      <c r="N55" s="6">
        <v>0</v>
      </c>
      <c r="O55" s="6">
        <v>1</v>
      </c>
      <c r="P55" s="6">
        <v>1</v>
      </c>
    </row>
    <row r="56" spans="1:16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0</v>
      </c>
      <c r="M56" s="6">
        <v>0</v>
      </c>
      <c r="N56" s="6">
        <v>0</v>
      </c>
      <c r="O56" s="6">
        <v>1</v>
      </c>
      <c r="P56" s="6">
        <v>1</v>
      </c>
    </row>
    <row r="57" spans="1:16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0</v>
      </c>
      <c r="M57" s="6">
        <v>0</v>
      </c>
      <c r="N57" s="6">
        <v>0</v>
      </c>
      <c r="O57" s="6">
        <v>1</v>
      </c>
      <c r="P57" s="6">
        <v>1</v>
      </c>
    </row>
    <row r="58" spans="1:16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0</v>
      </c>
      <c r="M58" s="6">
        <v>0</v>
      </c>
      <c r="N58" s="6">
        <v>0</v>
      </c>
      <c r="O58" s="6">
        <v>1</v>
      </c>
      <c r="P58" s="6">
        <v>1</v>
      </c>
    </row>
    <row r="59" spans="1:16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0</v>
      </c>
      <c r="M59" s="6">
        <v>0</v>
      </c>
      <c r="N59" s="6">
        <v>0</v>
      </c>
      <c r="O59" s="6">
        <v>1</v>
      </c>
      <c r="P59" s="6">
        <v>1</v>
      </c>
    </row>
    <row r="60" spans="1:16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0</v>
      </c>
      <c r="M60" s="6">
        <v>0</v>
      </c>
      <c r="N60" s="6">
        <v>0</v>
      </c>
      <c r="O60" s="6">
        <v>1</v>
      </c>
      <c r="P60" s="6">
        <v>1</v>
      </c>
    </row>
    <row r="61" spans="1:16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0</v>
      </c>
      <c r="M61" s="6">
        <v>0</v>
      </c>
      <c r="N61" s="6">
        <v>0</v>
      </c>
      <c r="O61" s="6">
        <v>1</v>
      </c>
      <c r="P61" s="6">
        <v>1</v>
      </c>
    </row>
    <row r="62" spans="1:16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0</v>
      </c>
      <c r="M62" s="6">
        <v>0</v>
      </c>
      <c r="N62" s="6">
        <v>0</v>
      </c>
      <c r="O62" s="6">
        <v>1</v>
      </c>
      <c r="P62" s="6">
        <v>1</v>
      </c>
    </row>
    <row r="63" spans="1:16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0</v>
      </c>
      <c r="M63" s="6">
        <v>0</v>
      </c>
      <c r="N63" s="6">
        <v>0</v>
      </c>
      <c r="O63" s="6">
        <v>1</v>
      </c>
      <c r="P63" s="6">
        <v>1</v>
      </c>
    </row>
    <row r="64" spans="1:16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0</v>
      </c>
      <c r="M64" s="6">
        <v>0</v>
      </c>
      <c r="N64" s="6">
        <v>0</v>
      </c>
      <c r="O64" s="6">
        <v>1</v>
      </c>
      <c r="P64" s="6">
        <v>1</v>
      </c>
    </row>
    <row r="65" spans="1:16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0</v>
      </c>
      <c r="M65" s="6">
        <v>0</v>
      </c>
      <c r="N65" s="6">
        <v>0</v>
      </c>
      <c r="O65" s="6">
        <v>1</v>
      </c>
      <c r="P65" s="6">
        <v>1</v>
      </c>
    </row>
    <row r="66" spans="1:16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0</v>
      </c>
      <c r="M66" s="6">
        <v>0</v>
      </c>
      <c r="N66" s="6">
        <v>0</v>
      </c>
      <c r="O66" s="6">
        <v>1</v>
      </c>
      <c r="P66" s="6">
        <v>1</v>
      </c>
    </row>
    <row r="67" spans="1:16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1</v>
      </c>
      <c r="L67" s="6">
        <v>0</v>
      </c>
      <c r="M67" s="6">
        <v>0</v>
      </c>
      <c r="N67" s="6">
        <v>0</v>
      </c>
      <c r="O67" s="6">
        <v>1</v>
      </c>
      <c r="P67" s="6">
        <v>1</v>
      </c>
    </row>
    <row r="68" spans="1:16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1</v>
      </c>
      <c r="L68" s="6">
        <v>0</v>
      </c>
      <c r="M68" s="6">
        <v>0</v>
      </c>
      <c r="N68" s="6">
        <v>0</v>
      </c>
      <c r="O68" s="6">
        <v>1</v>
      </c>
      <c r="P68" s="6">
        <v>1</v>
      </c>
    </row>
    <row r="69" spans="1:16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1</v>
      </c>
      <c r="L69" s="6">
        <v>0</v>
      </c>
      <c r="M69" s="6">
        <v>0</v>
      </c>
      <c r="N69" s="6">
        <v>0</v>
      </c>
      <c r="O69" s="6">
        <v>1</v>
      </c>
      <c r="P69" s="6">
        <v>1</v>
      </c>
    </row>
    <row r="70" spans="1:16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1</v>
      </c>
      <c r="L70" s="6">
        <v>0</v>
      </c>
      <c r="M70" s="6">
        <v>0</v>
      </c>
      <c r="N70" s="6">
        <v>0</v>
      </c>
      <c r="O70" s="6">
        <v>1</v>
      </c>
      <c r="P70" s="6">
        <v>1</v>
      </c>
    </row>
    <row r="71" spans="1:16" ht="19.5" thickBot="1">
      <c r="A71" s="5">
        <v>0.70833333333333337</v>
      </c>
      <c r="B71" s="6">
        <v>3</v>
      </c>
      <c r="C71" s="6">
        <v>1</v>
      </c>
      <c r="D71" s="6">
        <v>0</v>
      </c>
      <c r="E71" s="6">
        <v>0</v>
      </c>
      <c r="F71" s="6">
        <v>2</v>
      </c>
      <c r="G71" s="6">
        <v>0</v>
      </c>
      <c r="H71" s="6">
        <v>1</v>
      </c>
      <c r="I71" s="6">
        <v>0</v>
      </c>
      <c r="J71" s="6">
        <v>0</v>
      </c>
      <c r="K71" s="6">
        <v>1</v>
      </c>
      <c r="L71" s="6">
        <v>0</v>
      </c>
      <c r="M71" s="6">
        <v>0</v>
      </c>
      <c r="N71" s="6">
        <v>0</v>
      </c>
      <c r="O71" s="6">
        <v>1</v>
      </c>
      <c r="P71" s="6">
        <v>1</v>
      </c>
    </row>
    <row r="72" spans="1:16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1</v>
      </c>
      <c r="I72" s="6">
        <v>0</v>
      </c>
      <c r="J72" s="6">
        <v>0</v>
      </c>
      <c r="K72" s="6">
        <v>1</v>
      </c>
      <c r="L72" s="6">
        <v>0</v>
      </c>
      <c r="M72" s="6">
        <v>0</v>
      </c>
      <c r="N72" s="6">
        <v>0</v>
      </c>
      <c r="O72" s="6">
        <v>1</v>
      </c>
      <c r="P72" s="6">
        <v>1</v>
      </c>
    </row>
    <row r="73" spans="1:16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2</v>
      </c>
      <c r="G73" s="6">
        <v>0</v>
      </c>
      <c r="H73" s="6">
        <v>1</v>
      </c>
      <c r="I73" s="6">
        <v>0</v>
      </c>
      <c r="J73" s="6">
        <v>0</v>
      </c>
      <c r="K73" s="6">
        <v>1</v>
      </c>
      <c r="L73" s="6">
        <v>0</v>
      </c>
      <c r="M73" s="6">
        <v>0</v>
      </c>
      <c r="N73" s="6">
        <v>0</v>
      </c>
      <c r="O73" s="6">
        <v>1</v>
      </c>
      <c r="P73" s="6">
        <v>1</v>
      </c>
    </row>
    <row r="74" spans="1:16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2</v>
      </c>
      <c r="G74" s="6">
        <v>0</v>
      </c>
      <c r="H74" s="6">
        <v>1</v>
      </c>
      <c r="I74" s="6">
        <v>0</v>
      </c>
      <c r="J74" s="6">
        <v>0</v>
      </c>
      <c r="K74" s="6">
        <v>1</v>
      </c>
      <c r="L74" s="6">
        <v>0</v>
      </c>
      <c r="M74" s="6">
        <v>0</v>
      </c>
      <c r="N74" s="6">
        <v>0</v>
      </c>
      <c r="O74" s="6">
        <v>1</v>
      </c>
      <c r="P74" s="6">
        <v>1</v>
      </c>
    </row>
    <row r="75" spans="1:16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1</v>
      </c>
      <c r="I75" s="6">
        <v>0</v>
      </c>
      <c r="J75" s="6">
        <v>0</v>
      </c>
      <c r="K75" s="6">
        <v>1</v>
      </c>
      <c r="L75" s="6">
        <v>0</v>
      </c>
      <c r="M75" s="6">
        <v>0</v>
      </c>
      <c r="N75" s="6">
        <v>0</v>
      </c>
      <c r="O75" s="6">
        <v>1</v>
      </c>
      <c r="P75" s="6">
        <v>1</v>
      </c>
    </row>
    <row r="76" spans="1:16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1</v>
      </c>
      <c r="I76" s="6">
        <v>0</v>
      </c>
      <c r="J76" s="6">
        <v>0</v>
      </c>
      <c r="K76" s="6">
        <v>1</v>
      </c>
      <c r="L76" s="6">
        <v>0</v>
      </c>
      <c r="M76" s="6">
        <v>0</v>
      </c>
      <c r="N76" s="6">
        <v>0</v>
      </c>
      <c r="O76" s="6">
        <v>1</v>
      </c>
      <c r="P76" s="6">
        <v>1</v>
      </c>
    </row>
    <row r="77" spans="1:16" ht="19.5" thickBot="1">
      <c r="A77" s="5">
        <v>0.77083333333333337</v>
      </c>
      <c r="B77" s="6">
        <v>3</v>
      </c>
      <c r="C77" s="6">
        <v>0</v>
      </c>
      <c r="D77" s="6">
        <v>1</v>
      </c>
      <c r="E77" s="6">
        <v>1</v>
      </c>
      <c r="F77" s="6">
        <v>2</v>
      </c>
      <c r="G77" s="6">
        <v>0</v>
      </c>
      <c r="H77" s="6">
        <v>1</v>
      </c>
      <c r="I77" s="6">
        <v>0</v>
      </c>
      <c r="J77" s="6">
        <v>0</v>
      </c>
      <c r="K77" s="6">
        <v>1</v>
      </c>
      <c r="L77" s="6">
        <v>0</v>
      </c>
      <c r="M77" s="6">
        <v>0</v>
      </c>
      <c r="N77" s="6">
        <v>0</v>
      </c>
      <c r="O77" s="6">
        <v>1</v>
      </c>
      <c r="P77" s="6">
        <v>1</v>
      </c>
    </row>
    <row r="78" spans="1:16" ht="19.5" thickBot="1">
      <c r="A78" s="5">
        <v>0.78125</v>
      </c>
      <c r="B78" s="6">
        <v>3</v>
      </c>
      <c r="C78" s="6">
        <v>0</v>
      </c>
      <c r="D78" s="6">
        <v>0</v>
      </c>
      <c r="E78" s="6">
        <v>1</v>
      </c>
      <c r="F78" s="6">
        <v>2</v>
      </c>
      <c r="G78" s="6">
        <v>0</v>
      </c>
      <c r="H78" s="6">
        <v>1</v>
      </c>
      <c r="I78" s="6">
        <v>0</v>
      </c>
      <c r="J78" s="6">
        <v>0</v>
      </c>
      <c r="K78" s="6">
        <v>1</v>
      </c>
      <c r="L78" s="6">
        <v>0</v>
      </c>
      <c r="M78" s="6">
        <v>0</v>
      </c>
      <c r="N78" s="6">
        <v>0</v>
      </c>
      <c r="O78" s="6">
        <v>1</v>
      </c>
      <c r="P78" s="6">
        <v>1</v>
      </c>
    </row>
    <row r="79" spans="1:16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1</v>
      </c>
      <c r="I79" s="6">
        <v>0</v>
      </c>
      <c r="J79" s="6">
        <v>0</v>
      </c>
      <c r="K79" s="6">
        <v>1</v>
      </c>
      <c r="L79" s="6">
        <v>0</v>
      </c>
      <c r="M79" s="6">
        <v>0</v>
      </c>
      <c r="N79" s="6">
        <v>0</v>
      </c>
      <c r="O79" s="6">
        <v>1</v>
      </c>
      <c r="P79" s="6">
        <v>1</v>
      </c>
    </row>
    <row r="80" spans="1:16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1</v>
      </c>
      <c r="I80" s="6">
        <v>0</v>
      </c>
      <c r="J80" s="6">
        <v>0</v>
      </c>
      <c r="K80" s="6">
        <v>1</v>
      </c>
      <c r="L80" s="6">
        <v>0</v>
      </c>
      <c r="M80" s="6">
        <v>0</v>
      </c>
      <c r="N80" s="6">
        <v>0</v>
      </c>
      <c r="O80" s="6">
        <v>1</v>
      </c>
      <c r="P80" s="6">
        <v>1</v>
      </c>
    </row>
    <row r="81" spans="1:16" ht="19.5" thickBot="1">
      <c r="A81" s="5">
        <v>0.8125</v>
      </c>
      <c r="B81" s="6">
        <v>3</v>
      </c>
      <c r="C81" s="6">
        <v>0</v>
      </c>
      <c r="D81" s="6">
        <v>0</v>
      </c>
      <c r="E81" s="6">
        <v>2</v>
      </c>
      <c r="F81" s="6">
        <v>2</v>
      </c>
      <c r="G81" s="6">
        <v>0</v>
      </c>
      <c r="H81" s="6">
        <v>1</v>
      </c>
      <c r="I81" s="6">
        <v>0</v>
      </c>
      <c r="J81" s="6">
        <v>0</v>
      </c>
      <c r="K81" s="6">
        <v>1</v>
      </c>
      <c r="L81" s="6">
        <v>0</v>
      </c>
      <c r="M81" s="6">
        <v>0</v>
      </c>
      <c r="N81" s="6">
        <v>0</v>
      </c>
      <c r="O81" s="6">
        <v>1</v>
      </c>
      <c r="P81" s="6">
        <v>1</v>
      </c>
    </row>
    <row r="82" spans="1:16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2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1</v>
      </c>
      <c r="L82" s="6">
        <v>0</v>
      </c>
      <c r="M82" s="6">
        <v>0</v>
      </c>
      <c r="N82" s="6">
        <v>0</v>
      </c>
      <c r="O82" s="6">
        <v>1</v>
      </c>
      <c r="P82" s="6">
        <v>1</v>
      </c>
    </row>
    <row r="83" spans="1:16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1</v>
      </c>
      <c r="L83" s="6">
        <v>0</v>
      </c>
      <c r="M83" s="6">
        <v>0</v>
      </c>
      <c r="N83" s="6">
        <v>0</v>
      </c>
      <c r="O83" s="6">
        <v>1</v>
      </c>
      <c r="P83" s="6">
        <v>1</v>
      </c>
    </row>
    <row r="84" spans="1:16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2</v>
      </c>
      <c r="L84" s="6">
        <v>1</v>
      </c>
      <c r="M84" s="6">
        <v>0</v>
      </c>
      <c r="N84" s="6">
        <v>0</v>
      </c>
      <c r="O84" s="6">
        <v>1</v>
      </c>
      <c r="P84" s="6">
        <v>1</v>
      </c>
    </row>
    <row r="85" spans="1:16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2</v>
      </c>
      <c r="L85" s="6">
        <v>1</v>
      </c>
      <c r="M85" s="6">
        <v>0</v>
      </c>
      <c r="N85" s="6">
        <v>0</v>
      </c>
      <c r="O85" s="6">
        <v>1</v>
      </c>
      <c r="P85" s="6">
        <v>1</v>
      </c>
    </row>
    <row r="86" spans="1:16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2</v>
      </c>
      <c r="L86" s="6">
        <v>1</v>
      </c>
      <c r="M86" s="6">
        <v>0</v>
      </c>
      <c r="N86" s="6">
        <v>0</v>
      </c>
      <c r="O86" s="6">
        <v>1</v>
      </c>
      <c r="P86" s="6">
        <v>1</v>
      </c>
    </row>
    <row r="87" spans="1:16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2</v>
      </c>
      <c r="L87" s="6">
        <v>1</v>
      </c>
      <c r="M87" s="6">
        <v>0</v>
      </c>
      <c r="N87" s="6">
        <v>0</v>
      </c>
      <c r="O87" s="6">
        <v>1</v>
      </c>
      <c r="P87" s="6">
        <v>1</v>
      </c>
    </row>
    <row r="88" spans="1:16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1</v>
      </c>
      <c r="L88" s="6">
        <v>0</v>
      </c>
      <c r="M88" s="6">
        <v>0</v>
      </c>
      <c r="N88" s="6">
        <v>0</v>
      </c>
      <c r="O88" s="6">
        <v>1</v>
      </c>
      <c r="P88" s="6">
        <v>1</v>
      </c>
    </row>
    <row r="89" spans="1:16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0</v>
      </c>
      <c r="H89" s="6">
        <v>1</v>
      </c>
      <c r="I89" s="6">
        <v>0</v>
      </c>
      <c r="J89" s="6">
        <v>0</v>
      </c>
      <c r="K89" s="6">
        <v>1</v>
      </c>
      <c r="L89" s="6">
        <v>0</v>
      </c>
      <c r="M89" s="6">
        <v>0</v>
      </c>
      <c r="N89" s="6">
        <v>0</v>
      </c>
      <c r="O89" s="6">
        <v>1</v>
      </c>
      <c r="P89" s="6">
        <v>1</v>
      </c>
    </row>
    <row r="90" spans="1:16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0</v>
      </c>
      <c r="H90" s="6">
        <v>1</v>
      </c>
      <c r="I90" s="6">
        <v>0</v>
      </c>
      <c r="J90" s="6">
        <v>0</v>
      </c>
      <c r="K90" s="6">
        <v>1</v>
      </c>
      <c r="L90" s="6">
        <v>0</v>
      </c>
      <c r="M90" s="6">
        <v>0</v>
      </c>
      <c r="N90" s="6">
        <v>1</v>
      </c>
      <c r="O90" s="6">
        <v>1</v>
      </c>
      <c r="P90" s="6">
        <v>1</v>
      </c>
    </row>
    <row r="91" spans="1:16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1</v>
      </c>
      <c r="H91" s="6">
        <v>1</v>
      </c>
      <c r="I91" s="6">
        <v>0</v>
      </c>
      <c r="J91" s="6">
        <v>0</v>
      </c>
      <c r="K91" s="6">
        <v>2</v>
      </c>
      <c r="L91" s="6">
        <v>1</v>
      </c>
      <c r="M91" s="6">
        <v>0</v>
      </c>
      <c r="N91" s="6">
        <v>0</v>
      </c>
      <c r="O91" s="6">
        <v>1</v>
      </c>
      <c r="P91" s="6">
        <v>1</v>
      </c>
    </row>
    <row r="92" spans="1:16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1</v>
      </c>
      <c r="H92" s="6">
        <v>1</v>
      </c>
      <c r="I92" s="6">
        <v>0</v>
      </c>
      <c r="J92" s="6">
        <v>0</v>
      </c>
      <c r="K92" s="6">
        <v>2</v>
      </c>
      <c r="L92" s="6">
        <v>1</v>
      </c>
      <c r="M92" s="6">
        <v>0</v>
      </c>
      <c r="N92" s="6">
        <v>0</v>
      </c>
      <c r="O92" s="6">
        <v>1</v>
      </c>
      <c r="P92" s="6">
        <v>1</v>
      </c>
    </row>
    <row r="93" spans="1:16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1</v>
      </c>
      <c r="H93" s="6">
        <v>1</v>
      </c>
      <c r="I93" s="6">
        <v>0</v>
      </c>
      <c r="J93" s="6">
        <v>0</v>
      </c>
      <c r="K93" s="6">
        <v>2</v>
      </c>
      <c r="L93" s="6">
        <v>1</v>
      </c>
      <c r="M93" s="6">
        <v>0</v>
      </c>
      <c r="N93" s="6">
        <v>0</v>
      </c>
      <c r="O93" s="6">
        <v>1</v>
      </c>
      <c r="P93" s="6">
        <v>1</v>
      </c>
    </row>
    <row r="94" spans="1:16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1</v>
      </c>
      <c r="H94" s="6">
        <v>1</v>
      </c>
      <c r="I94" s="6">
        <v>0</v>
      </c>
      <c r="J94" s="6">
        <v>0</v>
      </c>
      <c r="K94" s="6">
        <v>1</v>
      </c>
      <c r="L94" s="6">
        <v>1</v>
      </c>
      <c r="M94" s="6">
        <v>0</v>
      </c>
      <c r="N94" s="6">
        <v>0</v>
      </c>
      <c r="O94" s="6">
        <v>1</v>
      </c>
      <c r="P94" s="6">
        <v>1</v>
      </c>
    </row>
    <row r="95" spans="1:16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1</v>
      </c>
      <c r="M95" s="6">
        <v>0</v>
      </c>
      <c r="N95" s="6">
        <v>1</v>
      </c>
      <c r="O95" s="6">
        <v>1</v>
      </c>
      <c r="P95" s="6">
        <v>1</v>
      </c>
    </row>
    <row r="96" spans="1:16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0</v>
      </c>
      <c r="M96" s="6">
        <v>0</v>
      </c>
      <c r="N96" s="6">
        <v>0</v>
      </c>
      <c r="O96" s="6">
        <v>1</v>
      </c>
      <c r="P96" s="6">
        <v>1</v>
      </c>
    </row>
    <row r="97" spans="1:16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0</v>
      </c>
      <c r="M97" s="6">
        <v>0</v>
      </c>
      <c r="N97" s="6">
        <v>0</v>
      </c>
      <c r="O97" s="6">
        <v>1</v>
      </c>
      <c r="P97" s="6">
        <v>1</v>
      </c>
    </row>
    <row r="98" spans="1:16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0</v>
      </c>
      <c r="M98" s="6">
        <v>0</v>
      </c>
      <c r="N98" s="6">
        <v>0</v>
      </c>
      <c r="O98" s="6">
        <v>1</v>
      </c>
      <c r="P98" s="6">
        <v>1</v>
      </c>
    </row>
  </sheetData>
  <mergeCells count="5">
    <mergeCell ref="B1:E1"/>
    <mergeCell ref="F1:I1"/>
    <mergeCell ref="K1:L1"/>
    <mergeCell ref="M1:N1"/>
    <mergeCell ref="O1:P1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8253B-D613-4694-B64F-110C124015F6}">
  <sheetPr codeName="Sheet7">
    <tabColor rgb="FFFFFFCC"/>
  </sheetPr>
  <dimension ref="A1:P98"/>
  <sheetViews>
    <sheetView workbookViewId="0">
      <selection activeCell="P29" sqref="P29"/>
    </sheetView>
  </sheetViews>
  <sheetFormatPr defaultRowHeight="18.75"/>
  <sheetData>
    <row r="1" spans="1:16" ht="19.5" thickBot="1">
      <c r="A1" s="1" t="s">
        <v>19</v>
      </c>
      <c r="B1" s="8" t="s">
        <v>20</v>
      </c>
      <c r="C1" s="7"/>
      <c r="D1" s="7"/>
      <c r="E1" s="9"/>
      <c r="F1" s="8" t="s">
        <v>21</v>
      </c>
      <c r="G1" s="7"/>
      <c r="H1" s="7"/>
      <c r="I1" s="9"/>
      <c r="J1" s="2" t="s">
        <v>22</v>
      </c>
      <c r="K1" s="8" t="s">
        <v>24</v>
      </c>
      <c r="L1" s="9"/>
      <c r="M1" s="8" t="s">
        <v>25</v>
      </c>
      <c r="N1" s="9"/>
      <c r="O1" s="8" t="s">
        <v>26</v>
      </c>
      <c r="P1" s="9"/>
    </row>
    <row r="2" spans="1:16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39</v>
      </c>
      <c r="L2" s="4" t="s">
        <v>40</v>
      </c>
      <c r="M2" s="4" t="s">
        <v>41</v>
      </c>
      <c r="N2" s="4" t="s">
        <v>42</v>
      </c>
      <c r="O2" s="4" t="s">
        <v>43</v>
      </c>
      <c r="P2" s="4" t="s">
        <v>43</v>
      </c>
    </row>
    <row r="3" spans="1:16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0</v>
      </c>
      <c r="M3" s="6">
        <v>0</v>
      </c>
      <c r="N3" s="6">
        <v>0</v>
      </c>
      <c r="O3" s="6">
        <v>1</v>
      </c>
      <c r="P3" s="6">
        <v>1</v>
      </c>
    </row>
    <row r="4" spans="1:16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0</v>
      </c>
      <c r="M4" s="6">
        <v>0</v>
      </c>
      <c r="N4" s="6">
        <v>0</v>
      </c>
      <c r="O4" s="6">
        <v>1</v>
      </c>
      <c r="P4" s="6">
        <v>1</v>
      </c>
    </row>
    <row r="5" spans="1:16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0</v>
      </c>
      <c r="M5" s="6">
        <v>0</v>
      </c>
      <c r="N5" s="6">
        <v>0</v>
      </c>
      <c r="O5" s="6">
        <v>1</v>
      </c>
      <c r="P5" s="6">
        <v>1</v>
      </c>
    </row>
    <row r="6" spans="1:16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0</v>
      </c>
      <c r="M6" s="6">
        <v>0</v>
      </c>
      <c r="N6" s="6">
        <v>0</v>
      </c>
      <c r="O6" s="6">
        <v>1</v>
      </c>
      <c r="P6" s="6">
        <v>1</v>
      </c>
    </row>
    <row r="7" spans="1:16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0</v>
      </c>
      <c r="M7" s="6">
        <v>0</v>
      </c>
      <c r="N7" s="6">
        <v>0</v>
      </c>
      <c r="O7" s="6">
        <v>1</v>
      </c>
      <c r="P7" s="6">
        <v>1</v>
      </c>
    </row>
    <row r="8" spans="1:16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0</v>
      </c>
      <c r="M8" s="6">
        <v>0</v>
      </c>
      <c r="N8" s="6">
        <v>0</v>
      </c>
      <c r="O8" s="6">
        <v>1</v>
      </c>
      <c r="P8" s="6">
        <v>1</v>
      </c>
    </row>
    <row r="9" spans="1:16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0</v>
      </c>
      <c r="M9" s="6">
        <v>0</v>
      </c>
      <c r="N9" s="6">
        <v>0</v>
      </c>
      <c r="O9" s="6">
        <v>1</v>
      </c>
      <c r="P9" s="6">
        <v>1</v>
      </c>
    </row>
    <row r="10" spans="1:16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0</v>
      </c>
      <c r="M10" s="6">
        <v>0</v>
      </c>
      <c r="N10" s="6">
        <v>0</v>
      </c>
      <c r="O10" s="6">
        <v>1</v>
      </c>
      <c r="P10" s="6">
        <v>1</v>
      </c>
    </row>
    <row r="11" spans="1:16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0</v>
      </c>
      <c r="M11" s="6">
        <v>0</v>
      </c>
      <c r="N11" s="6">
        <v>0</v>
      </c>
      <c r="O11" s="6">
        <v>1</v>
      </c>
      <c r="P11" s="6">
        <v>1</v>
      </c>
    </row>
    <row r="12" spans="1:16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0</v>
      </c>
      <c r="M12" s="6">
        <v>0</v>
      </c>
      <c r="N12" s="6">
        <v>0</v>
      </c>
      <c r="O12" s="6">
        <v>1</v>
      </c>
      <c r="P12" s="6">
        <v>1</v>
      </c>
    </row>
    <row r="13" spans="1:16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0</v>
      </c>
      <c r="M13" s="6">
        <v>0</v>
      </c>
      <c r="N13" s="6">
        <v>0</v>
      </c>
      <c r="O13" s="6">
        <v>1</v>
      </c>
      <c r="P13" s="6">
        <v>1</v>
      </c>
    </row>
    <row r="14" spans="1:16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0</v>
      </c>
      <c r="M14" s="6">
        <v>0</v>
      </c>
      <c r="N14" s="6">
        <v>0</v>
      </c>
      <c r="O14" s="6">
        <v>1</v>
      </c>
      <c r="P14" s="6">
        <v>1</v>
      </c>
    </row>
    <row r="15" spans="1:16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0</v>
      </c>
      <c r="M15" s="6">
        <v>0</v>
      </c>
      <c r="N15" s="6">
        <v>0</v>
      </c>
      <c r="O15" s="6">
        <v>1</v>
      </c>
      <c r="P15" s="6">
        <v>1</v>
      </c>
    </row>
    <row r="16" spans="1:16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0</v>
      </c>
      <c r="M16" s="6">
        <v>0</v>
      </c>
      <c r="N16" s="6">
        <v>0</v>
      </c>
      <c r="O16" s="6">
        <v>1</v>
      </c>
      <c r="P16" s="6">
        <v>1</v>
      </c>
    </row>
    <row r="17" spans="1:16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0</v>
      </c>
      <c r="M17" s="6">
        <v>0</v>
      </c>
      <c r="N17" s="6">
        <v>0</v>
      </c>
      <c r="O17" s="6">
        <v>1</v>
      </c>
      <c r="P17" s="6">
        <v>1</v>
      </c>
    </row>
    <row r="18" spans="1:16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0</v>
      </c>
      <c r="M18" s="6">
        <v>0</v>
      </c>
      <c r="N18" s="6">
        <v>0</v>
      </c>
      <c r="O18" s="6">
        <v>1</v>
      </c>
      <c r="P18" s="6">
        <v>1</v>
      </c>
    </row>
    <row r="19" spans="1:16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0</v>
      </c>
      <c r="M19" s="6">
        <v>0</v>
      </c>
      <c r="N19" s="6">
        <v>0</v>
      </c>
      <c r="O19" s="6">
        <v>1</v>
      </c>
      <c r="P19" s="6">
        <v>1</v>
      </c>
    </row>
    <row r="20" spans="1:16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0</v>
      </c>
      <c r="M20" s="6">
        <v>0</v>
      </c>
      <c r="N20" s="6">
        <v>0</v>
      </c>
      <c r="O20" s="6">
        <v>1</v>
      </c>
      <c r="P20" s="6">
        <v>1</v>
      </c>
    </row>
    <row r="21" spans="1:16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0</v>
      </c>
      <c r="M21" s="6">
        <v>0</v>
      </c>
      <c r="N21" s="6">
        <v>0</v>
      </c>
      <c r="O21" s="6">
        <v>1</v>
      </c>
      <c r="P21" s="6">
        <v>1</v>
      </c>
    </row>
    <row r="22" spans="1:16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0</v>
      </c>
      <c r="M22" s="6">
        <v>0</v>
      </c>
      <c r="N22" s="6">
        <v>0</v>
      </c>
      <c r="O22" s="6">
        <v>1</v>
      </c>
      <c r="P22" s="6">
        <v>1</v>
      </c>
    </row>
    <row r="23" spans="1:16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0</v>
      </c>
      <c r="M23" s="6">
        <v>0</v>
      </c>
      <c r="N23" s="6">
        <v>0</v>
      </c>
      <c r="O23" s="6">
        <v>1</v>
      </c>
      <c r="P23" s="6">
        <v>1</v>
      </c>
    </row>
    <row r="24" spans="1:16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0</v>
      </c>
      <c r="M24" s="6">
        <v>0</v>
      </c>
      <c r="N24" s="6">
        <v>0</v>
      </c>
      <c r="O24" s="6">
        <v>1</v>
      </c>
      <c r="P24" s="6">
        <v>1</v>
      </c>
    </row>
    <row r="25" spans="1:16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0</v>
      </c>
      <c r="M25" s="6">
        <v>0</v>
      </c>
      <c r="N25" s="6">
        <v>0</v>
      </c>
      <c r="O25" s="6">
        <v>1</v>
      </c>
      <c r="P25" s="6">
        <v>1</v>
      </c>
    </row>
    <row r="26" spans="1:16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0</v>
      </c>
      <c r="M26" s="6">
        <v>0</v>
      </c>
      <c r="N26" s="6">
        <v>0</v>
      </c>
      <c r="O26" s="6">
        <v>1</v>
      </c>
      <c r="P26" s="6">
        <v>1</v>
      </c>
    </row>
    <row r="27" spans="1:16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0</v>
      </c>
      <c r="M27" s="6">
        <v>0</v>
      </c>
      <c r="N27" s="6">
        <v>0</v>
      </c>
      <c r="O27" s="6">
        <v>1</v>
      </c>
      <c r="P27" s="6">
        <v>1</v>
      </c>
    </row>
    <row r="28" spans="1:16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0</v>
      </c>
      <c r="M28" s="6">
        <v>0</v>
      </c>
      <c r="N28" s="6">
        <v>0</v>
      </c>
      <c r="O28" s="6">
        <v>1</v>
      </c>
      <c r="P28" s="6">
        <v>1</v>
      </c>
    </row>
    <row r="29" spans="1:16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0</v>
      </c>
      <c r="M29" s="6">
        <v>0</v>
      </c>
      <c r="N29" s="6">
        <v>0</v>
      </c>
      <c r="O29" s="6">
        <v>1</v>
      </c>
      <c r="P29" s="6">
        <v>1</v>
      </c>
    </row>
    <row r="30" spans="1:16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0</v>
      </c>
      <c r="M30" s="6">
        <v>0</v>
      </c>
      <c r="N30" s="6">
        <v>0</v>
      </c>
      <c r="O30" s="6">
        <v>1</v>
      </c>
      <c r="P30" s="6">
        <v>1</v>
      </c>
    </row>
    <row r="31" spans="1:16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1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0</v>
      </c>
      <c r="M31" s="6">
        <v>0</v>
      </c>
      <c r="N31" s="6">
        <v>0</v>
      </c>
      <c r="O31" s="6">
        <v>1</v>
      </c>
      <c r="P31" s="6">
        <v>1</v>
      </c>
    </row>
    <row r="32" spans="1:16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1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0</v>
      </c>
      <c r="M32" s="6">
        <v>0</v>
      </c>
      <c r="N32" s="6">
        <v>1</v>
      </c>
      <c r="O32" s="6">
        <v>1</v>
      </c>
      <c r="P32" s="6">
        <v>1</v>
      </c>
    </row>
    <row r="33" spans="1:16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1</v>
      </c>
      <c r="G33" s="6">
        <v>0</v>
      </c>
      <c r="H33" s="6">
        <v>1</v>
      </c>
      <c r="I33" s="6">
        <v>0</v>
      </c>
      <c r="J33" s="6">
        <v>0</v>
      </c>
      <c r="K33" s="6">
        <v>1</v>
      </c>
      <c r="L33" s="6">
        <v>0</v>
      </c>
      <c r="M33" s="6">
        <v>0</v>
      </c>
      <c r="N33" s="6">
        <v>0</v>
      </c>
      <c r="O33" s="6">
        <v>1</v>
      </c>
      <c r="P33" s="6">
        <v>1</v>
      </c>
    </row>
    <row r="34" spans="1:16" ht="19.5" thickBot="1">
      <c r="A34" s="5">
        <v>0.32291666666666669</v>
      </c>
      <c r="B34" s="6">
        <v>2</v>
      </c>
      <c r="C34" s="6">
        <v>1</v>
      </c>
      <c r="D34" s="6">
        <v>0</v>
      </c>
      <c r="E34" s="6">
        <v>0</v>
      </c>
      <c r="F34" s="6">
        <v>1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0</v>
      </c>
      <c r="N34" s="6">
        <v>0</v>
      </c>
      <c r="O34" s="6">
        <v>1</v>
      </c>
      <c r="P34" s="6">
        <v>1</v>
      </c>
    </row>
    <row r="35" spans="1:16" ht="19.5" thickBot="1">
      <c r="A35" s="5">
        <v>0.33333333333333331</v>
      </c>
      <c r="B35" s="6">
        <v>3</v>
      </c>
      <c r="C35" s="6">
        <v>0</v>
      </c>
      <c r="D35" s="6">
        <v>1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0</v>
      </c>
      <c r="N35" s="6">
        <v>0</v>
      </c>
      <c r="O35" s="6">
        <v>1</v>
      </c>
      <c r="P35" s="6">
        <v>1</v>
      </c>
    </row>
    <row r="36" spans="1:16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  <c r="N36" s="6">
        <v>0</v>
      </c>
      <c r="O36" s="6">
        <v>1</v>
      </c>
      <c r="P36" s="6">
        <v>1</v>
      </c>
    </row>
    <row r="37" spans="1:16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0</v>
      </c>
      <c r="M37" s="6">
        <v>1</v>
      </c>
      <c r="N37" s="6">
        <v>1</v>
      </c>
      <c r="O37" s="6">
        <v>1</v>
      </c>
      <c r="P37" s="6">
        <v>1</v>
      </c>
    </row>
    <row r="38" spans="1:16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0</v>
      </c>
      <c r="M38" s="6">
        <v>1</v>
      </c>
      <c r="N38" s="6">
        <v>0</v>
      </c>
      <c r="O38" s="6">
        <v>1</v>
      </c>
      <c r="P38" s="6">
        <v>1</v>
      </c>
    </row>
    <row r="39" spans="1:16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0</v>
      </c>
      <c r="J39" s="6">
        <v>0</v>
      </c>
      <c r="K39" s="6">
        <v>1</v>
      </c>
      <c r="L39" s="6">
        <v>0</v>
      </c>
      <c r="M39" s="6">
        <v>0</v>
      </c>
      <c r="N39" s="6">
        <v>0</v>
      </c>
      <c r="O39" s="6">
        <v>1</v>
      </c>
      <c r="P39" s="6">
        <v>1</v>
      </c>
    </row>
    <row r="40" spans="1:16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1</v>
      </c>
      <c r="J40" s="6">
        <v>0</v>
      </c>
      <c r="K40" s="6">
        <v>1</v>
      </c>
      <c r="L40" s="6">
        <v>1</v>
      </c>
      <c r="M40" s="6">
        <v>0</v>
      </c>
      <c r="N40" s="6">
        <v>0</v>
      </c>
      <c r="O40" s="6">
        <v>1</v>
      </c>
      <c r="P40" s="6">
        <v>1</v>
      </c>
    </row>
    <row r="41" spans="1:16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1</v>
      </c>
      <c r="M41" s="6">
        <v>0</v>
      </c>
      <c r="N41" s="6">
        <v>0</v>
      </c>
      <c r="O41" s="6">
        <v>1</v>
      </c>
      <c r="P41" s="6">
        <v>1</v>
      </c>
    </row>
    <row r="42" spans="1:16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0</v>
      </c>
      <c r="K42" s="6">
        <v>1</v>
      </c>
      <c r="L42" s="6">
        <v>1</v>
      </c>
      <c r="M42" s="6">
        <v>0</v>
      </c>
      <c r="N42" s="6">
        <v>0</v>
      </c>
      <c r="O42" s="6">
        <v>1</v>
      </c>
      <c r="P42" s="6">
        <v>1</v>
      </c>
    </row>
    <row r="43" spans="1:16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2</v>
      </c>
      <c r="G43" s="6">
        <v>1</v>
      </c>
      <c r="H43" s="6">
        <v>1</v>
      </c>
      <c r="I43" s="6">
        <v>0</v>
      </c>
      <c r="J43" s="6">
        <v>0</v>
      </c>
      <c r="K43" s="6">
        <v>2</v>
      </c>
      <c r="L43" s="6">
        <v>1</v>
      </c>
      <c r="M43" s="6">
        <v>0</v>
      </c>
      <c r="N43" s="6">
        <v>0</v>
      </c>
      <c r="O43" s="6">
        <v>1</v>
      </c>
      <c r="P43" s="6">
        <v>1</v>
      </c>
    </row>
    <row r="44" spans="1:16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2</v>
      </c>
      <c r="G44" s="6">
        <v>1</v>
      </c>
      <c r="H44" s="6">
        <v>1</v>
      </c>
      <c r="I44" s="6">
        <v>0</v>
      </c>
      <c r="J44" s="6">
        <v>0</v>
      </c>
      <c r="K44" s="6">
        <v>2</v>
      </c>
      <c r="L44" s="6">
        <v>1</v>
      </c>
      <c r="M44" s="6">
        <v>0</v>
      </c>
      <c r="N44" s="6">
        <v>0</v>
      </c>
      <c r="O44" s="6">
        <v>1</v>
      </c>
      <c r="P44" s="6">
        <v>1</v>
      </c>
    </row>
    <row r="45" spans="1:16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2</v>
      </c>
      <c r="G45" s="6">
        <v>1</v>
      </c>
      <c r="H45" s="6">
        <v>1</v>
      </c>
      <c r="I45" s="6">
        <v>0</v>
      </c>
      <c r="J45" s="6">
        <v>0</v>
      </c>
      <c r="K45" s="6">
        <v>1</v>
      </c>
      <c r="L45" s="6">
        <v>1</v>
      </c>
      <c r="M45" s="6">
        <v>0</v>
      </c>
      <c r="N45" s="6">
        <v>0</v>
      </c>
      <c r="O45" s="6">
        <v>1</v>
      </c>
      <c r="P45" s="6">
        <v>1</v>
      </c>
    </row>
    <row r="46" spans="1:16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2</v>
      </c>
      <c r="G46" s="6">
        <v>1</v>
      </c>
      <c r="H46" s="6">
        <v>1</v>
      </c>
      <c r="I46" s="6">
        <v>0</v>
      </c>
      <c r="J46" s="6">
        <v>0</v>
      </c>
      <c r="K46" s="6">
        <v>1</v>
      </c>
      <c r="L46" s="6">
        <v>1</v>
      </c>
      <c r="M46" s="6">
        <v>0</v>
      </c>
      <c r="N46" s="6">
        <v>0</v>
      </c>
      <c r="O46" s="6">
        <v>1</v>
      </c>
      <c r="P46" s="6">
        <v>1</v>
      </c>
    </row>
    <row r="47" spans="1:16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2</v>
      </c>
      <c r="G47" s="6">
        <v>1</v>
      </c>
      <c r="H47" s="6">
        <v>1</v>
      </c>
      <c r="I47" s="6">
        <v>0</v>
      </c>
      <c r="J47" s="6">
        <v>0</v>
      </c>
      <c r="K47" s="6">
        <v>1</v>
      </c>
      <c r="L47" s="6">
        <v>1</v>
      </c>
      <c r="M47" s="6">
        <v>0</v>
      </c>
      <c r="N47" s="6">
        <v>0</v>
      </c>
      <c r="O47" s="6">
        <v>1</v>
      </c>
      <c r="P47" s="6">
        <v>1</v>
      </c>
    </row>
    <row r="48" spans="1:16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2</v>
      </c>
      <c r="G48" s="6">
        <v>1</v>
      </c>
      <c r="H48" s="6">
        <v>1</v>
      </c>
      <c r="I48" s="6">
        <v>0</v>
      </c>
      <c r="J48" s="6">
        <v>0</v>
      </c>
      <c r="K48" s="6">
        <v>1</v>
      </c>
      <c r="L48" s="6">
        <v>1</v>
      </c>
      <c r="M48" s="6">
        <v>0</v>
      </c>
      <c r="N48" s="6">
        <v>0</v>
      </c>
      <c r="O48" s="6">
        <v>1</v>
      </c>
      <c r="P48" s="6">
        <v>1</v>
      </c>
    </row>
    <row r="49" spans="1:16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2</v>
      </c>
      <c r="G49" s="6">
        <v>1</v>
      </c>
      <c r="H49" s="6">
        <v>1</v>
      </c>
      <c r="I49" s="6">
        <v>0</v>
      </c>
      <c r="J49" s="6">
        <v>0</v>
      </c>
      <c r="K49" s="6">
        <v>1</v>
      </c>
      <c r="L49" s="6">
        <v>1</v>
      </c>
      <c r="M49" s="6">
        <v>0</v>
      </c>
      <c r="N49" s="6">
        <v>0</v>
      </c>
      <c r="O49" s="6">
        <v>1</v>
      </c>
      <c r="P49" s="6">
        <v>1</v>
      </c>
    </row>
    <row r="50" spans="1:16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2</v>
      </c>
      <c r="G50" s="6">
        <v>1</v>
      </c>
      <c r="H50" s="6">
        <v>1</v>
      </c>
      <c r="I50" s="6">
        <v>0</v>
      </c>
      <c r="J50" s="6">
        <v>0</v>
      </c>
      <c r="K50" s="6">
        <v>1</v>
      </c>
      <c r="L50" s="6">
        <v>1</v>
      </c>
      <c r="M50" s="6">
        <v>0</v>
      </c>
      <c r="N50" s="6">
        <v>0</v>
      </c>
      <c r="O50" s="6">
        <v>1</v>
      </c>
      <c r="P50" s="6">
        <v>1</v>
      </c>
    </row>
    <row r="51" spans="1:16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0</v>
      </c>
      <c r="M51" s="6">
        <v>0</v>
      </c>
      <c r="N51" s="6">
        <v>0</v>
      </c>
      <c r="O51" s="6">
        <v>1</v>
      </c>
      <c r="P51" s="6">
        <v>1</v>
      </c>
    </row>
    <row r="52" spans="1:16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0</v>
      </c>
      <c r="M52" s="6">
        <v>0</v>
      </c>
      <c r="N52" s="6">
        <v>0</v>
      </c>
      <c r="O52" s="6">
        <v>1</v>
      </c>
      <c r="P52" s="6">
        <v>1</v>
      </c>
    </row>
    <row r="53" spans="1:16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0</v>
      </c>
      <c r="M53" s="6">
        <v>0</v>
      </c>
      <c r="N53" s="6">
        <v>0</v>
      </c>
      <c r="O53" s="6">
        <v>1</v>
      </c>
      <c r="P53" s="6">
        <v>1</v>
      </c>
    </row>
    <row r="54" spans="1:16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0</v>
      </c>
      <c r="M54" s="6">
        <v>0</v>
      </c>
      <c r="N54" s="6">
        <v>0</v>
      </c>
      <c r="O54" s="6">
        <v>1</v>
      </c>
      <c r="P54" s="6">
        <v>1</v>
      </c>
    </row>
    <row r="55" spans="1:16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0</v>
      </c>
      <c r="M55" s="6">
        <v>0</v>
      </c>
      <c r="N55" s="6">
        <v>0</v>
      </c>
      <c r="O55" s="6">
        <v>1</v>
      </c>
      <c r="P55" s="6">
        <v>1</v>
      </c>
    </row>
    <row r="56" spans="1:16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0</v>
      </c>
      <c r="M56" s="6">
        <v>0</v>
      </c>
      <c r="N56" s="6">
        <v>0</v>
      </c>
      <c r="O56" s="6">
        <v>1</v>
      </c>
      <c r="P56" s="6">
        <v>1</v>
      </c>
    </row>
    <row r="57" spans="1:16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0</v>
      </c>
      <c r="M57" s="6">
        <v>0</v>
      </c>
      <c r="N57" s="6">
        <v>0</v>
      </c>
      <c r="O57" s="6">
        <v>1</v>
      </c>
      <c r="P57" s="6">
        <v>1</v>
      </c>
    </row>
    <row r="58" spans="1:16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0</v>
      </c>
      <c r="M58" s="6">
        <v>0</v>
      </c>
      <c r="N58" s="6">
        <v>0</v>
      </c>
      <c r="O58" s="6">
        <v>1</v>
      </c>
      <c r="P58" s="6">
        <v>1</v>
      </c>
    </row>
    <row r="59" spans="1:16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0</v>
      </c>
      <c r="M59" s="6">
        <v>0</v>
      </c>
      <c r="N59" s="6">
        <v>0</v>
      </c>
      <c r="O59" s="6">
        <v>1</v>
      </c>
      <c r="P59" s="6">
        <v>1</v>
      </c>
    </row>
    <row r="60" spans="1:16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0</v>
      </c>
      <c r="M60" s="6">
        <v>0</v>
      </c>
      <c r="N60" s="6">
        <v>0</v>
      </c>
      <c r="O60" s="6">
        <v>1</v>
      </c>
      <c r="P60" s="6">
        <v>1</v>
      </c>
    </row>
    <row r="61" spans="1:16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0</v>
      </c>
      <c r="M61" s="6">
        <v>0</v>
      </c>
      <c r="N61" s="6">
        <v>0</v>
      </c>
      <c r="O61" s="6">
        <v>1</v>
      </c>
      <c r="P61" s="6">
        <v>1</v>
      </c>
    </row>
    <row r="62" spans="1:16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0</v>
      </c>
      <c r="M62" s="6">
        <v>0</v>
      </c>
      <c r="N62" s="6">
        <v>0</v>
      </c>
      <c r="O62" s="6">
        <v>1</v>
      </c>
      <c r="P62" s="6">
        <v>1</v>
      </c>
    </row>
    <row r="63" spans="1:16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0</v>
      </c>
      <c r="M63" s="6">
        <v>0</v>
      </c>
      <c r="N63" s="6">
        <v>0</v>
      </c>
      <c r="O63" s="6">
        <v>1</v>
      </c>
      <c r="P63" s="6">
        <v>1</v>
      </c>
    </row>
    <row r="64" spans="1:16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0</v>
      </c>
      <c r="M64" s="6">
        <v>0</v>
      </c>
      <c r="N64" s="6">
        <v>0</v>
      </c>
      <c r="O64" s="6">
        <v>1</v>
      </c>
      <c r="P64" s="6">
        <v>1</v>
      </c>
    </row>
    <row r="65" spans="1:16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0</v>
      </c>
      <c r="M65" s="6">
        <v>0</v>
      </c>
      <c r="N65" s="6">
        <v>0</v>
      </c>
      <c r="O65" s="6">
        <v>1</v>
      </c>
      <c r="P65" s="6">
        <v>1</v>
      </c>
    </row>
    <row r="66" spans="1:16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0</v>
      </c>
      <c r="M66" s="6">
        <v>0</v>
      </c>
      <c r="N66" s="6">
        <v>0</v>
      </c>
      <c r="O66" s="6">
        <v>1</v>
      </c>
      <c r="P66" s="6">
        <v>1</v>
      </c>
    </row>
    <row r="67" spans="1:16" ht="19.5" thickBot="1">
      <c r="A67" s="5">
        <v>0.66666666666666663</v>
      </c>
      <c r="B67" s="6">
        <v>2</v>
      </c>
      <c r="C67" s="6">
        <v>1</v>
      </c>
      <c r="D67" s="6">
        <v>0</v>
      </c>
      <c r="E67" s="6">
        <v>0</v>
      </c>
      <c r="F67" s="6">
        <v>1</v>
      </c>
      <c r="G67" s="6">
        <v>0</v>
      </c>
      <c r="H67" s="6">
        <v>2</v>
      </c>
      <c r="I67" s="6">
        <v>0</v>
      </c>
      <c r="J67" s="6">
        <v>1</v>
      </c>
      <c r="K67" s="6">
        <v>2</v>
      </c>
      <c r="L67" s="6">
        <v>1</v>
      </c>
      <c r="M67" s="6">
        <v>0</v>
      </c>
      <c r="N67" s="6">
        <v>0</v>
      </c>
      <c r="O67" s="6">
        <v>1</v>
      </c>
      <c r="P67" s="6">
        <v>1</v>
      </c>
    </row>
    <row r="68" spans="1:16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2</v>
      </c>
      <c r="G68" s="6">
        <v>0</v>
      </c>
      <c r="H68" s="6">
        <v>2</v>
      </c>
      <c r="I68" s="6">
        <v>0</v>
      </c>
      <c r="J68" s="6">
        <v>0</v>
      </c>
      <c r="K68" s="6">
        <v>2</v>
      </c>
      <c r="L68" s="6">
        <v>1</v>
      </c>
      <c r="M68" s="6">
        <v>0</v>
      </c>
      <c r="N68" s="6">
        <v>0</v>
      </c>
      <c r="O68" s="6">
        <v>1</v>
      </c>
      <c r="P68" s="6">
        <v>1</v>
      </c>
    </row>
    <row r="69" spans="1:16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2</v>
      </c>
      <c r="G69" s="6">
        <v>0</v>
      </c>
      <c r="H69" s="6">
        <v>2</v>
      </c>
      <c r="I69" s="6">
        <v>0</v>
      </c>
      <c r="J69" s="6">
        <v>0</v>
      </c>
      <c r="K69" s="6">
        <v>2</v>
      </c>
      <c r="L69" s="6">
        <v>1</v>
      </c>
      <c r="M69" s="6">
        <v>0</v>
      </c>
      <c r="N69" s="6">
        <v>0</v>
      </c>
      <c r="O69" s="6">
        <v>1</v>
      </c>
      <c r="P69" s="6">
        <v>1</v>
      </c>
    </row>
    <row r="70" spans="1:16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2</v>
      </c>
      <c r="G70" s="6">
        <v>0</v>
      </c>
      <c r="H70" s="6">
        <v>2</v>
      </c>
      <c r="I70" s="6">
        <v>0</v>
      </c>
      <c r="J70" s="6">
        <v>0</v>
      </c>
      <c r="K70" s="6">
        <v>2</v>
      </c>
      <c r="L70" s="6">
        <v>1</v>
      </c>
      <c r="M70" s="6">
        <v>0</v>
      </c>
      <c r="N70" s="6">
        <v>0</v>
      </c>
      <c r="O70" s="6">
        <v>1</v>
      </c>
      <c r="P70" s="6">
        <v>1</v>
      </c>
    </row>
    <row r="71" spans="1:16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2</v>
      </c>
      <c r="G71" s="6">
        <v>0</v>
      </c>
      <c r="H71" s="6">
        <v>2</v>
      </c>
      <c r="I71" s="6">
        <v>0</v>
      </c>
      <c r="J71" s="6">
        <v>0</v>
      </c>
      <c r="K71" s="6">
        <v>2</v>
      </c>
      <c r="L71" s="6">
        <v>1</v>
      </c>
      <c r="M71" s="6">
        <v>0</v>
      </c>
      <c r="N71" s="6">
        <v>0</v>
      </c>
      <c r="O71" s="6">
        <v>1</v>
      </c>
      <c r="P71" s="6">
        <v>1</v>
      </c>
    </row>
    <row r="72" spans="1:16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2</v>
      </c>
      <c r="I72" s="6">
        <v>0</v>
      </c>
      <c r="J72" s="6">
        <v>0</v>
      </c>
      <c r="K72" s="6">
        <v>2</v>
      </c>
      <c r="L72" s="6">
        <v>1</v>
      </c>
      <c r="M72" s="6">
        <v>0</v>
      </c>
      <c r="N72" s="6">
        <v>0</v>
      </c>
      <c r="O72" s="6">
        <v>1</v>
      </c>
      <c r="P72" s="6">
        <v>1</v>
      </c>
    </row>
    <row r="73" spans="1:16" ht="19.5" thickBot="1">
      <c r="A73" s="5">
        <v>0.72916666666666663</v>
      </c>
      <c r="B73" s="6">
        <v>2</v>
      </c>
      <c r="C73" s="6">
        <v>0</v>
      </c>
      <c r="D73" s="6">
        <v>1</v>
      </c>
      <c r="E73" s="6">
        <v>1</v>
      </c>
      <c r="F73" s="6">
        <v>2</v>
      </c>
      <c r="G73" s="6">
        <v>0</v>
      </c>
      <c r="H73" s="6">
        <v>2</v>
      </c>
      <c r="I73" s="6">
        <v>0</v>
      </c>
      <c r="J73" s="6">
        <v>0</v>
      </c>
      <c r="K73" s="6">
        <v>2</v>
      </c>
      <c r="L73" s="6">
        <v>1</v>
      </c>
      <c r="M73" s="6">
        <v>0</v>
      </c>
      <c r="N73" s="6">
        <v>0</v>
      </c>
      <c r="O73" s="6">
        <v>1</v>
      </c>
      <c r="P73" s="6">
        <v>1</v>
      </c>
    </row>
    <row r="74" spans="1:16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1</v>
      </c>
      <c r="F74" s="6">
        <v>2</v>
      </c>
      <c r="G74" s="6">
        <v>0</v>
      </c>
      <c r="H74" s="6">
        <v>2</v>
      </c>
      <c r="I74" s="6">
        <v>0</v>
      </c>
      <c r="J74" s="6">
        <v>0</v>
      </c>
      <c r="K74" s="6">
        <v>2</v>
      </c>
      <c r="L74" s="6">
        <v>1</v>
      </c>
      <c r="M74" s="6">
        <v>0</v>
      </c>
      <c r="N74" s="6">
        <v>0</v>
      </c>
      <c r="O74" s="6">
        <v>1</v>
      </c>
      <c r="P74" s="6">
        <v>1</v>
      </c>
    </row>
    <row r="75" spans="1:16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2</v>
      </c>
      <c r="I75" s="6">
        <v>0</v>
      </c>
      <c r="J75" s="6">
        <v>0</v>
      </c>
      <c r="K75" s="6">
        <v>2</v>
      </c>
      <c r="L75" s="6">
        <v>1</v>
      </c>
      <c r="M75" s="6">
        <v>0</v>
      </c>
      <c r="N75" s="6">
        <v>0</v>
      </c>
      <c r="O75" s="6">
        <v>1</v>
      </c>
      <c r="P75" s="6">
        <v>1</v>
      </c>
    </row>
    <row r="76" spans="1:16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2</v>
      </c>
      <c r="I76" s="6">
        <v>0</v>
      </c>
      <c r="J76" s="6">
        <v>0</v>
      </c>
      <c r="K76" s="6">
        <v>2</v>
      </c>
      <c r="L76" s="6">
        <v>1</v>
      </c>
      <c r="M76" s="6">
        <v>0</v>
      </c>
      <c r="N76" s="6">
        <v>0</v>
      </c>
      <c r="O76" s="6">
        <v>1</v>
      </c>
      <c r="P76" s="6">
        <v>1</v>
      </c>
    </row>
    <row r="77" spans="1:16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2</v>
      </c>
      <c r="F77" s="6">
        <v>2</v>
      </c>
      <c r="G77" s="6">
        <v>0</v>
      </c>
      <c r="H77" s="6">
        <v>2</v>
      </c>
      <c r="I77" s="6">
        <v>0</v>
      </c>
      <c r="J77" s="6">
        <v>0</v>
      </c>
      <c r="K77" s="6">
        <v>2</v>
      </c>
      <c r="L77" s="6">
        <v>0</v>
      </c>
      <c r="M77" s="6">
        <v>0</v>
      </c>
      <c r="N77" s="6">
        <v>0</v>
      </c>
      <c r="O77" s="6">
        <v>1</v>
      </c>
      <c r="P77" s="6">
        <v>1</v>
      </c>
    </row>
    <row r="78" spans="1:16" ht="19.5" thickBot="1">
      <c r="A78" s="5">
        <v>0.78125</v>
      </c>
      <c r="B78" s="6">
        <v>3</v>
      </c>
      <c r="C78" s="6">
        <v>0</v>
      </c>
      <c r="D78" s="6">
        <v>0</v>
      </c>
      <c r="E78" s="6">
        <v>2</v>
      </c>
      <c r="F78" s="6">
        <v>2</v>
      </c>
      <c r="G78" s="6">
        <v>0</v>
      </c>
      <c r="H78" s="6">
        <v>2</v>
      </c>
      <c r="I78" s="6">
        <v>0</v>
      </c>
      <c r="J78" s="6">
        <v>0</v>
      </c>
      <c r="K78" s="6">
        <v>2</v>
      </c>
      <c r="L78" s="6">
        <v>0</v>
      </c>
      <c r="M78" s="6">
        <v>0</v>
      </c>
      <c r="N78" s="6">
        <v>0</v>
      </c>
      <c r="O78" s="6">
        <v>1</v>
      </c>
      <c r="P78" s="6">
        <v>1</v>
      </c>
    </row>
    <row r="79" spans="1:16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2</v>
      </c>
      <c r="I79" s="6">
        <v>0</v>
      </c>
      <c r="J79" s="6">
        <v>0</v>
      </c>
      <c r="K79" s="6">
        <v>2</v>
      </c>
      <c r="L79" s="6">
        <v>0</v>
      </c>
      <c r="M79" s="6">
        <v>0</v>
      </c>
      <c r="N79" s="6">
        <v>0</v>
      </c>
      <c r="O79" s="6">
        <v>1</v>
      </c>
      <c r="P79" s="6">
        <v>1</v>
      </c>
    </row>
    <row r="80" spans="1:16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2</v>
      </c>
      <c r="I80" s="6">
        <v>0</v>
      </c>
      <c r="J80" s="6">
        <v>0</v>
      </c>
      <c r="K80" s="6">
        <v>2</v>
      </c>
      <c r="L80" s="6">
        <v>0</v>
      </c>
      <c r="M80" s="6">
        <v>0</v>
      </c>
      <c r="N80" s="6">
        <v>0</v>
      </c>
      <c r="O80" s="6">
        <v>1</v>
      </c>
      <c r="P80" s="6">
        <v>1</v>
      </c>
    </row>
    <row r="81" spans="1:16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2</v>
      </c>
      <c r="G81" s="6">
        <v>0</v>
      </c>
      <c r="H81" s="6">
        <v>2</v>
      </c>
      <c r="I81" s="6">
        <v>0</v>
      </c>
      <c r="J81" s="6">
        <v>0</v>
      </c>
      <c r="K81" s="6">
        <v>2</v>
      </c>
      <c r="L81" s="6">
        <v>0</v>
      </c>
      <c r="M81" s="6">
        <v>0</v>
      </c>
      <c r="N81" s="6">
        <v>0</v>
      </c>
      <c r="O81" s="6">
        <v>1</v>
      </c>
      <c r="P81" s="6">
        <v>1</v>
      </c>
    </row>
    <row r="82" spans="1:16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2</v>
      </c>
      <c r="L82" s="6">
        <v>0</v>
      </c>
      <c r="M82" s="6">
        <v>0</v>
      </c>
      <c r="N82" s="6">
        <v>0</v>
      </c>
      <c r="O82" s="6">
        <v>1</v>
      </c>
      <c r="P82" s="6">
        <v>1</v>
      </c>
    </row>
    <row r="83" spans="1:16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2</v>
      </c>
      <c r="L83" s="6">
        <v>1</v>
      </c>
      <c r="M83" s="6">
        <v>0</v>
      </c>
      <c r="N83" s="6">
        <v>0</v>
      </c>
      <c r="O83" s="6">
        <v>1</v>
      </c>
      <c r="P83" s="6">
        <v>1</v>
      </c>
    </row>
    <row r="84" spans="1:16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2</v>
      </c>
      <c r="L84" s="6">
        <v>1</v>
      </c>
      <c r="M84" s="6">
        <v>0</v>
      </c>
      <c r="N84" s="6">
        <v>0</v>
      </c>
      <c r="O84" s="6">
        <v>1</v>
      </c>
      <c r="P84" s="6">
        <v>1</v>
      </c>
    </row>
    <row r="85" spans="1:16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2</v>
      </c>
      <c r="L85" s="6">
        <v>1</v>
      </c>
      <c r="M85" s="6">
        <v>0</v>
      </c>
      <c r="N85" s="6">
        <v>0</v>
      </c>
      <c r="O85" s="6">
        <v>1</v>
      </c>
      <c r="P85" s="6">
        <v>1</v>
      </c>
    </row>
    <row r="86" spans="1:16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2</v>
      </c>
      <c r="L86" s="6">
        <v>1</v>
      </c>
      <c r="M86" s="6">
        <v>0</v>
      </c>
      <c r="N86" s="6">
        <v>0</v>
      </c>
      <c r="O86" s="6">
        <v>1</v>
      </c>
      <c r="P86" s="6">
        <v>1</v>
      </c>
    </row>
    <row r="87" spans="1:16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2</v>
      </c>
      <c r="L87" s="6">
        <v>1</v>
      </c>
      <c r="M87" s="6">
        <v>0</v>
      </c>
      <c r="N87" s="6">
        <v>0</v>
      </c>
      <c r="O87" s="6">
        <v>1</v>
      </c>
      <c r="P87" s="6">
        <v>1</v>
      </c>
    </row>
    <row r="88" spans="1:16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2</v>
      </c>
      <c r="L88" s="6">
        <v>0</v>
      </c>
      <c r="M88" s="6">
        <v>0</v>
      </c>
      <c r="N88" s="6">
        <v>0</v>
      </c>
      <c r="O88" s="6">
        <v>1</v>
      </c>
      <c r="P88" s="6">
        <v>1</v>
      </c>
    </row>
    <row r="89" spans="1:16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2</v>
      </c>
      <c r="L89" s="6">
        <v>0</v>
      </c>
      <c r="M89" s="6">
        <v>0</v>
      </c>
      <c r="N89" s="6">
        <v>0</v>
      </c>
      <c r="O89" s="6">
        <v>1</v>
      </c>
      <c r="P89" s="6">
        <v>1</v>
      </c>
    </row>
    <row r="90" spans="1:16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2</v>
      </c>
      <c r="L90" s="6">
        <v>0</v>
      </c>
      <c r="M90" s="6">
        <v>0</v>
      </c>
      <c r="N90" s="6">
        <v>1</v>
      </c>
      <c r="O90" s="6">
        <v>1</v>
      </c>
      <c r="P90" s="6">
        <v>1</v>
      </c>
    </row>
    <row r="91" spans="1:16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0</v>
      </c>
      <c r="H91" s="6">
        <v>1</v>
      </c>
      <c r="I91" s="6">
        <v>0</v>
      </c>
      <c r="J91" s="6">
        <v>0</v>
      </c>
      <c r="K91" s="6">
        <v>2</v>
      </c>
      <c r="L91" s="6">
        <v>1</v>
      </c>
      <c r="M91" s="6">
        <v>0</v>
      </c>
      <c r="N91" s="6">
        <v>0</v>
      </c>
      <c r="O91" s="6">
        <v>1</v>
      </c>
      <c r="P91" s="6">
        <v>1</v>
      </c>
    </row>
    <row r="92" spans="1:16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0</v>
      </c>
      <c r="H92" s="6">
        <v>1</v>
      </c>
      <c r="I92" s="6">
        <v>0</v>
      </c>
      <c r="J92" s="6">
        <v>0</v>
      </c>
      <c r="K92" s="6">
        <v>2</v>
      </c>
      <c r="L92" s="6">
        <v>1</v>
      </c>
      <c r="M92" s="6">
        <v>0</v>
      </c>
      <c r="N92" s="6">
        <v>0</v>
      </c>
      <c r="O92" s="6">
        <v>1</v>
      </c>
      <c r="P92" s="6">
        <v>1</v>
      </c>
    </row>
    <row r="93" spans="1:16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2</v>
      </c>
      <c r="G93" s="6">
        <v>0</v>
      </c>
      <c r="H93" s="6">
        <v>1</v>
      </c>
      <c r="I93" s="6">
        <v>0</v>
      </c>
      <c r="J93" s="6">
        <v>0</v>
      </c>
      <c r="K93" s="6">
        <v>2</v>
      </c>
      <c r="L93" s="6">
        <v>1</v>
      </c>
      <c r="M93" s="6">
        <v>0</v>
      </c>
      <c r="N93" s="6">
        <v>0</v>
      </c>
      <c r="O93" s="6">
        <v>1</v>
      </c>
      <c r="P93" s="6">
        <v>1</v>
      </c>
    </row>
    <row r="94" spans="1:16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2</v>
      </c>
      <c r="G94" s="6">
        <v>0</v>
      </c>
      <c r="H94" s="6">
        <v>1</v>
      </c>
      <c r="I94" s="6">
        <v>0</v>
      </c>
      <c r="J94" s="6">
        <v>0</v>
      </c>
      <c r="K94" s="6">
        <v>2</v>
      </c>
      <c r="L94" s="6">
        <v>1</v>
      </c>
      <c r="M94" s="6">
        <v>0</v>
      </c>
      <c r="N94" s="6">
        <v>1</v>
      </c>
      <c r="O94" s="6">
        <v>1</v>
      </c>
      <c r="P94" s="6">
        <v>1</v>
      </c>
    </row>
    <row r="95" spans="1:16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0</v>
      </c>
      <c r="M95" s="6">
        <v>0</v>
      </c>
      <c r="N95" s="6">
        <v>0</v>
      </c>
      <c r="O95" s="6">
        <v>1</v>
      </c>
      <c r="P95" s="6">
        <v>1</v>
      </c>
    </row>
    <row r="96" spans="1:16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0</v>
      </c>
      <c r="M96" s="6">
        <v>0</v>
      </c>
      <c r="N96" s="6">
        <v>0</v>
      </c>
      <c r="O96" s="6">
        <v>1</v>
      </c>
      <c r="P96" s="6">
        <v>1</v>
      </c>
    </row>
    <row r="97" spans="1:16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0</v>
      </c>
      <c r="M97" s="6">
        <v>0</v>
      </c>
      <c r="N97" s="6">
        <v>0</v>
      </c>
      <c r="O97" s="6">
        <v>1</v>
      </c>
      <c r="P97" s="6">
        <v>1</v>
      </c>
    </row>
    <row r="98" spans="1:16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0</v>
      </c>
      <c r="M98" s="6">
        <v>0</v>
      </c>
      <c r="N98" s="6">
        <v>0</v>
      </c>
      <c r="O98" s="6">
        <v>1</v>
      </c>
      <c r="P98" s="6">
        <v>1</v>
      </c>
    </row>
  </sheetData>
  <mergeCells count="5">
    <mergeCell ref="B1:E1"/>
    <mergeCell ref="F1:I1"/>
    <mergeCell ref="K1:L1"/>
    <mergeCell ref="M1:N1"/>
    <mergeCell ref="O1:P1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DC499-E5E9-462F-AC6F-5DE4096DBA8D}">
  <sheetPr codeName="Sheet8">
    <tabColor rgb="FFFFFFCC"/>
  </sheetPr>
  <dimension ref="A1:P98"/>
  <sheetViews>
    <sheetView workbookViewId="0">
      <selection activeCell="P29" sqref="P29"/>
    </sheetView>
  </sheetViews>
  <sheetFormatPr defaultRowHeight="18.75"/>
  <sheetData>
    <row r="1" spans="1:16" ht="19.5" thickBot="1">
      <c r="A1" s="1" t="s">
        <v>19</v>
      </c>
      <c r="B1" s="8" t="s">
        <v>20</v>
      </c>
      <c r="C1" s="7"/>
      <c r="D1" s="7"/>
      <c r="E1" s="9"/>
      <c r="F1" s="8" t="s">
        <v>21</v>
      </c>
      <c r="G1" s="7"/>
      <c r="H1" s="7"/>
      <c r="I1" s="9"/>
      <c r="J1" s="2" t="s">
        <v>22</v>
      </c>
      <c r="K1" s="8" t="s">
        <v>24</v>
      </c>
      <c r="L1" s="9"/>
      <c r="M1" s="8" t="s">
        <v>25</v>
      </c>
      <c r="N1" s="9"/>
      <c r="O1" s="8" t="s">
        <v>26</v>
      </c>
      <c r="P1" s="9"/>
    </row>
    <row r="2" spans="1:16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39</v>
      </c>
      <c r="L2" s="4" t="s">
        <v>40</v>
      </c>
      <c r="M2" s="4" t="s">
        <v>41</v>
      </c>
      <c r="N2" s="4" t="s">
        <v>42</v>
      </c>
      <c r="O2" s="4" t="s">
        <v>43</v>
      </c>
      <c r="P2" s="4" t="s">
        <v>43</v>
      </c>
    </row>
    <row r="3" spans="1:16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0</v>
      </c>
      <c r="M3" s="6">
        <v>0</v>
      </c>
      <c r="N3" s="6">
        <v>0</v>
      </c>
      <c r="O3" s="6">
        <v>1</v>
      </c>
      <c r="P3" s="6">
        <v>1</v>
      </c>
    </row>
    <row r="4" spans="1:16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0</v>
      </c>
      <c r="M4" s="6">
        <v>0</v>
      </c>
      <c r="N4" s="6">
        <v>0</v>
      </c>
      <c r="O4" s="6">
        <v>1</v>
      </c>
      <c r="P4" s="6">
        <v>1</v>
      </c>
    </row>
    <row r="5" spans="1:16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0</v>
      </c>
      <c r="M5" s="6">
        <v>0</v>
      </c>
      <c r="N5" s="6">
        <v>0</v>
      </c>
      <c r="O5" s="6">
        <v>1</v>
      </c>
      <c r="P5" s="6">
        <v>1</v>
      </c>
    </row>
    <row r="6" spans="1:16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0</v>
      </c>
      <c r="M6" s="6">
        <v>0</v>
      </c>
      <c r="N6" s="6">
        <v>0</v>
      </c>
      <c r="O6" s="6">
        <v>1</v>
      </c>
      <c r="P6" s="6">
        <v>1</v>
      </c>
    </row>
    <row r="7" spans="1:16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0</v>
      </c>
      <c r="M7" s="6">
        <v>0</v>
      </c>
      <c r="N7" s="6">
        <v>0</v>
      </c>
      <c r="O7" s="6">
        <v>1</v>
      </c>
      <c r="P7" s="6">
        <v>1</v>
      </c>
    </row>
    <row r="8" spans="1:16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0</v>
      </c>
      <c r="M8" s="6">
        <v>0</v>
      </c>
      <c r="N8" s="6">
        <v>0</v>
      </c>
      <c r="O8" s="6">
        <v>1</v>
      </c>
      <c r="P8" s="6">
        <v>1</v>
      </c>
    </row>
    <row r="9" spans="1:16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0</v>
      </c>
      <c r="M9" s="6">
        <v>0</v>
      </c>
      <c r="N9" s="6">
        <v>0</v>
      </c>
      <c r="O9" s="6">
        <v>1</v>
      </c>
      <c r="P9" s="6">
        <v>1</v>
      </c>
    </row>
    <row r="10" spans="1:16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0</v>
      </c>
      <c r="M10" s="6">
        <v>0</v>
      </c>
      <c r="N10" s="6">
        <v>0</v>
      </c>
      <c r="O10" s="6">
        <v>1</v>
      </c>
      <c r="P10" s="6">
        <v>1</v>
      </c>
    </row>
    <row r="11" spans="1:16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0</v>
      </c>
      <c r="M11" s="6">
        <v>0</v>
      </c>
      <c r="N11" s="6">
        <v>0</v>
      </c>
      <c r="O11" s="6">
        <v>1</v>
      </c>
      <c r="P11" s="6">
        <v>1</v>
      </c>
    </row>
    <row r="12" spans="1:16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0</v>
      </c>
      <c r="M12" s="6">
        <v>0</v>
      </c>
      <c r="N12" s="6">
        <v>0</v>
      </c>
      <c r="O12" s="6">
        <v>1</v>
      </c>
      <c r="P12" s="6">
        <v>1</v>
      </c>
    </row>
    <row r="13" spans="1:16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0</v>
      </c>
      <c r="M13" s="6">
        <v>0</v>
      </c>
      <c r="N13" s="6">
        <v>0</v>
      </c>
      <c r="O13" s="6">
        <v>1</v>
      </c>
      <c r="P13" s="6">
        <v>1</v>
      </c>
    </row>
    <row r="14" spans="1:16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0</v>
      </c>
      <c r="M14" s="6">
        <v>0</v>
      </c>
      <c r="N14" s="6">
        <v>0</v>
      </c>
      <c r="O14" s="6">
        <v>1</v>
      </c>
      <c r="P14" s="6">
        <v>1</v>
      </c>
    </row>
    <row r="15" spans="1:16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0</v>
      </c>
      <c r="M15" s="6">
        <v>0</v>
      </c>
      <c r="N15" s="6">
        <v>0</v>
      </c>
      <c r="O15" s="6">
        <v>1</v>
      </c>
      <c r="P15" s="6">
        <v>1</v>
      </c>
    </row>
    <row r="16" spans="1:16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0</v>
      </c>
      <c r="M16" s="6">
        <v>0</v>
      </c>
      <c r="N16" s="6">
        <v>0</v>
      </c>
      <c r="O16" s="6">
        <v>1</v>
      </c>
      <c r="P16" s="6">
        <v>1</v>
      </c>
    </row>
    <row r="17" spans="1:16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0</v>
      </c>
      <c r="M17" s="6">
        <v>0</v>
      </c>
      <c r="N17" s="6">
        <v>0</v>
      </c>
      <c r="O17" s="6">
        <v>1</v>
      </c>
      <c r="P17" s="6">
        <v>1</v>
      </c>
    </row>
    <row r="18" spans="1:16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0</v>
      </c>
      <c r="M18" s="6">
        <v>0</v>
      </c>
      <c r="N18" s="6">
        <v>0</v>
      </c>
      <c r="O18" s="6">
        <v>1</v>
      </c>
      <c r="P18" s="6">
        <v>1</v>
      </c>
    </row>
    <row r="19" spans="1:16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0</v>
      </c>
      <c r="M19" s="6">
        <v>0</v>
      </c>
      <c r="N19" s="6">
        <v>0</v>
      </c>
      <c r="O19" s="6">
        <v>1</v>
      </c>
      <c r="P19" s="6">
        <v>1</v>
      </c>
    </row>
    <row r="20" spans="1:16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0</v>
      </c>
      <c r="M20" s="6">
        <v>0</v>
      </c>
      <c r="N20" s="6">
        <v>0</v>
      </c>
      <c r="O20" s="6">
        <v>1</v>
      </c>
      <c r="P20" s="6">
        <v>1</v>
      </c>
    </row>
    <row r="21" spans="1:16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0</v>
      </c>
      <c r="M21" s="6">
        <v>0</v>
      </c>
      <c r="N21" s="6">
        <v>0</v>
      </c>
      <c r="O21" s="6">
        <v>1</v>
      </c>
      <c r="P21" s="6">
        <v>1</v>
      </c>
    </row>
    <row r="22" spans="1:16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0</v>
      </c>
      <c r="M22" s="6">
        <v>0</v>
      </c>
      <c r="N22" s="6">
        <v>0</v>
      </c>
      <c r="O22" s="6">
        <v>1</v>
      </c>
      <c r="P22" s="6">
        <v>1</v>
      </c>
    </row>
    <row r="23" spans="1:16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0</v>
      </c>
      <c r="M23" s="6">
        <v>0</v>
      </c>
      <c r="N23" s="6">
        <v>0</v>
      </c>
      <c r="O23" s="6">
        <v>1</v>
      </c>
      <c r="P23" s="6">
        <v>1</v>
      </c>
    </row>
    <row r="24" spans="1:16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0</v>
      </c>
      <c r="M24" s="6">
        <v>0</v>
      </c>
      <c r="N24" s="6">
        <v>0</v>
      </c>
      <c r="O24" s="6">
        <v>1</v>
      </c>
      <c r="P24" s="6">
        <v>1</v>
      </c>
    </row>
    <row r="25" spans="1:16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0</v>
      </c>
      <c r="M25" s="6">
        <v>0</v>
      </c>
      <c r="N25" s="6">
        <v>0</v>
      </c>
      <c r="O25" s="6">
        <v>1</v>
      </c>
      <c r="P25" s="6">
        <v>1</v>
      </c>
    </row>
    <row r="26" spans="1:16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0</v>
      </c>
      <c r="M26" s="6">
        <v>0</v>
      </c>
      <c r="N26" s="6">
        <v>0</v>
      </c>
      <c r="O26" s="6">
        <v>1</v>
      </c>
      <c r="P26" s="6">
        <v>1</v>
      </c>
    </row>
    <row r="27" spans="1:16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0</v>
      </c>
      <c r="M27" s="6">
        <v>0</v>
      </c>
      <c r="N27" s="6">
        <v>0</v>
      </c>
      <c r="O27" s="6">
        <v>1</v>
      </c>
      <c r="P27" s="6">
        <v>1</v>
      </c>
    </row>
    <row r="28" spans="1:16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0</v>
      </c>
      <c r="M28" s="6">
        <v>0</v>
      </c>
      <c r="N28" s="6">
        <v>0</v>
      </c>
      <c r="O28" s="6">
        <v>1</v>
      </c>
      <c r="P28" s="6">
        <v>1</v>
      </c>
    </row>
    <row r="29" spans="1:16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0</v>
      </c>
      <c r="M29" s="6">
        <v>0</v>
      </c>
      <c r="N29" s="6">
        <v>1</v>
      </c>
      <c r="O29" s="6">
        <v>1</v>
      </c>
      <c r="P29" s="6">
        <v>1</v>
      </c>
    </row>
    <row r="30" spans="1:16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0</v>
      </c>
      <c r="M30" s="6">
        <v>0</v>
      </c>
      <c r="N30" s="6">
        <v>0</v>
      </c>
      <c r="O30" s="6">
        <v>1</v>
      </c>
      <c r="P30" s="6">
        <v>1</v>
      </c>
    </row>
    <row r="31" spans="1:16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0</v>
      </c>
      <c r="M31" s="6">
        <v>1</v>
      </c>
      <c r="N31" s="6">
        <v>0</v>
      </c>
      <c r="O31" s="6">
        <v>1</v>
      </c>
      <c r="P31" s="6">
        <v>1</v>
      </c>
    </row>
    <row r="32" spans="1:16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0</v>
      </c>
      <c r="M32" s="6">
        <v>1</v>
      </c>
      <c r="N32" s="6">
        <v>0</v>
      </c>
      <c r="O32" s="6">
        <v>1</v>
      </c>
      <c r="P32" s="6">
        <v>1</v>
      </c>
    </row>
    <row r="33" spans="1:16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1</v>
      </c>
      <c r="J33" s="6">
        <v>0</v>
      </c>
      <c r="K33" s="6">
        <v>1</v>
      </c>
      <c r="L33" s="6">
        <v>0</v>
      </c>
      <c r="M33" s="6">
        <v>1</v>
      </c>
      <c r="N33" s="6">
        <v>0</v>
      </c>
      <c r="O33" s="6">
        <v>1</v>
      </c>
      <c r="P33" s="6">
        <v>1</v>
      </c>
    </row>
    <row r="34" spans="1:16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0</v>
      </c>
      <c r="N34" s="6">
        <v>0</v>
      </c>
      <c r="O34" s="6">
        <v>1</v>
      </c>
      <c r="P34" s="6">
        <v>1</v>
      </c>
    </row>
    <row r="35" spans="1:16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0</v>
      </c>
      <c r="N35" s="6">
        <v>0</v>
      </c>
      <c r="O35" s="6">
        <v>1</v>
      </c>
      <c r="P35" s="6">
        <v>1</v>
      </c>
    </row>
    <row r="36" spans="1:16" ht="19.5" thickBot="1">
      <c r="A36" s="5">
        <v>0.34375</v>
      </c>
      <c r="B36" s="6">
        <v>3</v>
      </c>
      <c r="C36" s="6">
        <v>1</v>
      </c>
      <c r="D36" s="6">
        <v>1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0</v>
      </c>
      <c r="N36" s="6">
        <v>1</v>
      </c>
      <c r="O36" s="6">
        <v>1</v>
      </c>
      <c r="P36" s="6">
        <v>1</v>
      </c>
    </row>
    <row r="37" spans="1:16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0</v>
      </c>
      <c r="M37" s="6">
        <v>0</v>
      </c>
      <c r="N37" s="6">
        <v>0</v>
      </c>
      <c r="O37" s="6">
        <v>1</v>
      </c>
      <c r="P37" s="6">
        <v>1</v>
      </c>
    </row>
    <row r="38" spans="1:16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0</v>
      </c>
      <c r="M38" s="6">
        <v>0</v>
      </c>
      <c r="N38" s="6">
        <v>0</v>
      </c>
      <c r="O38" s="6">
        <v>1</v>
      </c>
      <c r="P38" s="6">
        <v>1</v>
      </c>
    </row>
    <row r="39" spans="1:16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1</v>
      </c>
      <c r="G39" s="6">
        <v>0</v>
      </c>
      <c r="H39" s="6">
        <v>1</v>
      </c>
      <c r="I39" s="6">
        <v>0</v>
      </c>
      <c r="J39" s="6">
        <v>0</v>
      </c>
      <c r="K39" s="6">
        <v>1</v>
      </c>
      <c r="L39" s="6">
        <v>0</v>
      </c>
      <c r="M39" s="6">
        <v>0</v>
      </c>
      <c r="N39" s="6">
        <v>0</v>
      </c>
      <c r="O39" s="6">
        <v>1</v>
      </c>
      <c r="P39" s="6">
        <v>1</v>
      </c>
    </row>
    <row r="40" spans="1:16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1</v>
      </c>
      <c r="G40" s="6">
        <v>0</v>
      </c>
      <c r="H40" s="6">
        <v>1</v>
      </c>
      <c r="I40" s="6">
        <v>0</v>
      </c>
      <c r="J40" s="6">
        <v>0</v>
      </c>
      <c r="K40" s="6">
        <v>1</v>
      </c>
      <c r="L40" s="6">
        <v>0</v>
      </c>
      <c r="M40" s="6">
        <v>0</v>
      </c>
      <c r="N40" s="6">
        <v>0</v>
      </c>
      <c r="O40" s="6">
        <v>1</v>
      </c>
      <c r="P40" s="6">
        <v>1</v>
      </c>
    </row>
    <row r="41" spans="1:16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1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0</v>
      </c>
      <c r="M41" s="6">
        <v>0</v>
      </c>
      <c r="N41" s="6">
        <v>0</v>
      </c>
      <c r="O41" s="6">
        <v>1</v>
      </c>
      <c r="P41" s="6">
        <v>1</v>
      </c>
    </row>
    <row r="42" spans="1:16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1</v>
      </c>
      <c r="G42" s="6">
        <v>0</v>
      </c>
      <c r="H42" s="6">
        <v>1</v>
      </c>
      <c r="I42" s="6">
        <v>0</v>
      </c>
      <c r="J42" s="6">
        <v>0</v>
      </c>
      <c r="K42" s="6">
        <v>1</v>
      </c>
      <c r="L42" s="6">
        <v>0</v>
      </c>
      <c r="M42" s="6">
        <v>0</v>
      </c>
      <c r="N42" s="6">
        <v>0</v>
      </c>
      <c r="O42" s="6">
        <v>1</v>
      </c>
      <c r="P42" s="6">
        <v>1</v>
      </c>
    </row>
    <row r="43" spans="1:16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1</v>
      </c>
      <c r="L43" s="6">
        <v>0</v>
      </c>
      <c r="M43" s="6">
        <v>0</v>
      </c>
      <c r="N43" s="6">
        <v>0</v>
      </c>
      <c r="O43" s="6">
        <v>1</v>
      </c>
      <c r="P43" s="6">
        <v>1</v>
      </c>
    </row>
    <row r="44" spans="1:16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1</v>
      </c>
      <c r="L44" s="6">
        <v>0</v>
      </c>
      <c r="M44" s="6">
        <v>0</v>
      </c>
      <c r="N44" s="6">
        <v>0</v>
      </c>
      <c r="O44" s="6">
        <v>1</v>
      </c>
      <c r="P44" s="6">
        <v>1</v>
      </c>
    </row>
    <row r="45" spans="1:16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1</v>
      </c>
      <c r="L45" s="6">
        <v>0</v>
      </c>
      <c r="M45" s="6">
        <v>0</v>
      </c>
      <c r="N45" s="6">
        <v>0</v>
      </c>
      <c r="O45" s="6">
        <v>1</v>
      </c>
      <c r="P45" s="6">
        <v>1</v>
      </c>
    </row>
    <row r="46" spans="1:16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1</v>
      </c>
      <c r="L46" s="6">
        <v>0</v>
      </c>
      <c r="M46" s="6">
        <v>0</v>
      </c>
      <c r="N46" s="6">
        <v>0</v>
      </c>
      <c r="O46" s="6">
        <v>1</v>
      </c>
      <c r="P46" s="6">
        <v>1</v>
      </c>
    </row>
    <row r="47" spans="1:16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1</v>
      </c>
      <c r="L47" s="6">
        <v>0</v>
      </c>
      <c r="M47" s="6">
        <v>0</v>
      </c>
      <c r="N47" s="6">
        <v>0</v>
      </c>
      <c r="O47" s="6">
        <v>1</v>
      </c>
      <c r="P47" s="6">
        <v>1</v>
      </c>
    </row>
    <row r="48" spans="1:16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1</v>
      </c>
      <c r="L48" s="6">
        <v>0</v>
      </c>
      <c r="M48" s="6">
        <v>0</v>
      </c>
      <c r="N48" s="6">
        <v>0</v>
      </c>
      <c r="O48" s="6">
        <v>1</v>
      </c>
      <c r="P48" s="6">
        <v>1</v>
      </c>
    </row>
    <row r="49" spans="1:16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1</v>
      </c>
      <c r="L49" s="6">
        <v>0</v>
      </c>
      <c r="M49" s="6">
        <v>0</v>
      </c>
      <c r="N49" s="6">
        <v>0</v>
      </c>
      <c r="O49" s="6">
        <v>1</v>
      </c>
      <c r="P49" s="6">
        <v>1</v>
      </c>
    </row>
    <row r="50" spans="1:16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1</v>
      </c>
      <c r="L50" s="6">
        <v>0</v>
      </c>
      <c r="M50" s="6">
        <v>0</v>
      </c>
      <c r="N50" s="6">
        <v>0</v>
      </c>
      <c r="O50" s="6">
        <v>1</v>
      </c>
      <c r="P50" s="6">
        <v>1</v>
      </c>
    </row>
    <row r="51" spans="1:16" ht="19.5" thickBot="1">
      <c r="A51" s="5">
        <v>0.5</v>
      </c>
      <c r="B51" s="6">
        <v>3</v>
      </c>
      <c r="C51" s="6">
        <v>0</v>
      </c>
      <c r="D51" s="6">
        <v>0</v>
      </c>
      <c r="E51" s="6">
        <v>0</v>
      </c>
      <c r="F51" s="6">
        <v>1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0</v>
      </c>
      <c r="M51" s="6">
        <v>0</v>
      </c>
      <c r="N51" s="6">
        <v>0</v>
      </c>
      <c r="O51" s="6">
        <v>1</v>
      </c>
      <c r="P51" s="6">
        <v>1</v>
      </c>
    </row>
    <row r="52" spans="1:16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1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0</v>
      </c>
      <c r="M52" s="6">
        <v>0</v>
      </c>
      <c r="N52" s="6">
        <v>0</v>
      </c>
      <c r="O52" s="6">
        <v>1</v>
      </c>
      <c r="P52" s="6">
        <v>1</v>
      </c>
    </row>
    <row r="53" spans="1:16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1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0</v>
      </c>
      <c r="M53" s="6">
        <v>0</v>
      </c>
      <c r="N53" s="6">
        <v>0</v>
      </c>
      <c r="O53" s="6">
        <v>1</v>
      </c>
      <c r="P53" s="6">
        <v>1</v>
      </c>
    </row>
    <row r="54" spans="1:16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1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0</v>
      </c>
      <c r="M54" s="6">
        <v>0</v>
      </c>
      <c r="N54" s="6">
        <v>0</v>
      </c>
      <c r="O54" s="6">
        <v>1</v>
      </c>
      <c r="P54" s="6">
        <v>1</v>
      </c>
    </row>
    <row r="55" spans="1:16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0</v>
      </c>
      <c r="M55" s="6">
        <v>0</v>
      </c>
      <c r="N55" s="6">
        <v>0</v>
      </c>
      <c r="O55" s="6">
        <v>1</v>
      </c>
      <c r="P55" s="6">
        <v>1</v>
      </c>
    </row>
    <row r="56" spans="1:16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0</v>
      </c>
      <c r="M56" s="6">
        <v>0</v>
      </c>
      <c r="N56" s="6">
        <v>0</v>
      </c>
      <c r="O56" s="6">
        <v>1</v>
      </c>
      <c r="P56" s="6">
        <v>1</v>
      </c>
    </row>
    <row r="57" spans="1:16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0</v>
      </c>
      <c r="M57" s="6">
        <v>0</v>
      </c>
      <c r="N57" s="6">
        <v>0</v>
      </c>
      <c r="O57" s="6">
        <v>1</v>
      </c>
      <c r="P57" s="6">
        <v>1</v>
      </c>
    </row>
    <row r="58" spans="1:16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0</v>
      </c>
      <c r="M58" s="6">
        <v>0</v>
      </c>
      <c r="N58" s="6">
        <v>0</v>
      </c>
      <c r="O58" s="6">
        <v>1</v>
      </c>
      <c r="P58" s="6">
        <v>1</v>
      </c>
    </row>
    <row r="59" spans="1:16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0</v>
      </c>
      <c r="M59" s="6">
        <v>0</v>
      </c>
      <c r="N59" s="6">
        <v>0</v>
      </c>
      <c r="O59" s="6">
        <v>1</v>
      </c>
      <c r="P59" s="6">
        <v>1</v>
      </c>
    </row>
    <row r="60" spans="1:16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0</v>
      </c>
      <c r="M60" s="6">
        <v>0</v>
      </c>
      <c r="N60" s="6">
        <v>0</v>
      </c>
      <c r="O60" s="6">
        <v>1</v>
      </c>
      <c r="P60" s="6">
        <v>1</v>
      </c>
    </row>
    <row r="61" spans="1:16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0</v>
      </c>
      <c r="M61" s="6">
        <v>0</v>
      </c>
      <c r="N61" s="6">
        <v>0</v>
      </c>
      <c r="O61" s="6">
        <v>1</v>
      </c>
      <c r="P61" s="6">
        <v>1</v>
      </c>
    </row>
    <row r="62" spans="1:16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0</v>
      </c>
      <c r="M62" s="6">
        <v>0</v>
      </c>
      <c r="N62" s="6">
        <v>0</v>
      </c>
      <c r="O62" s="6">
        <v>1</v>
      </c>
      <c r="P62" s="6">
        <v>1</v>
      </c>
    </row>
    <row r="63" spans="1:16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0</v>
      </c>
      <c r="M63" s="6">
        <v>0</v>
      </c>
      <c r="N63" s="6">
        <v>0</v>
      </c>
      <c r="O63" s="6">
        <v>1</v>
      </c>
      <c r="P63" s="6">
        <v>1</v>
      </c>
    </row>
    <row r="64" spans="1:16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0</v>
      </c>
      <c r="M64" s="6">
        <v>0</v>
      </c>
      <c r="N64" s="6">
        <v>0</v>
      </c>
      <c r="O64" s="6">
        <v>1</v>
      </c>
      <c r="P64" s="6">
        <v>1</v>
      </c>
    </row>
    <row r="65" spans="1:16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0</v>
      </c>
      <c r="M65" s="6">
        <v>0</v>
      </c>
      <c r="N65" s="6">
        <v>0</v>
      </c>
      <c r="O65" s="6">
        <v>1</v>
      </c>
      <c r="P65" s="6">
        <v>1</v>
      </c>
    </row>
    <row r="66" spans="1:16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0</v>
      </c>
      <c r="M66" s="6">
        <v>0</v>
      </c>
      <c r="N66" s="6">
        <v>0</v>
      </c>
      <c r="O66" s="6">
        <v>1</v>
      </c>
      <c r="P66" s="6">
        <v>1</v>
      </c>
    </row>
    <row r="67" spans="1:16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1</v>
      </c>
      <c r="L67" s="6">
        <v>0</v>
      </c>
      <c r="M67" s="6">
        <v>0</v>
      </c>
      <c r="N67" s="6">
        <v>0</v>
      </c>
      <c r="O67" s="6">
        <v>1</v>
      </c>
      <c r="P67" s="6">
        <v>1</v>
      </c>
    </row>
    <row r="68" spans="1:16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1</v>
      </c>
      <c r="L68" s="6">
        <v>0</v>
      </c>
      <c r="M68" s="6">
        <v>0</v>
      </c>
      <c r="N68" s="6">
        <v>0</v>
      </c>
      <c r="O68" s="6">
        <v>1</v>
      </c>
      <c r="P68" s="6">
        <v>1</v>
      </c>
    </row>
    <row r="69" spans="1:16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1</v>
      </c>
      <c r="L69" s="6">
        <v>0</v>
      </c>
      <c r="M69" s="6">
        <v>0</v>
      </c>
      <c r="N69" s="6">
        <v>0</v>
      </c>
      <c r="O69" s="6">
        <v>1</v>
      </c>
      <c r="P69" s="6">
        <v>1</v>
      </c>
    </row>
    <row r="70" spans="1:16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1</v>
      </c>
      <c r="L70" s="6">
        <v>0</v>
      </c>
      <c r="M70" s="6">
        <v>0</v>
      </c>
      <c r="N70" s="6">
        <v>0</v>
      </c>
      <c r="O70" s="6">
        <v>1</v>
      </c>
      <c r="P70" s="6">
        <v>1</v>
      </c>
    </row>
    <row r="71" spans="1:16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1</v>
      </c>
      <c r="G71" s="6">
        <v>0</v>
      </c>
      <c r="H71" s="6">
        <v>1</v>
      </c>
      <c r="I71" s="6">
        <v>0</v>
      </c>
      <c r="J71" s="6">
        <v>0</v>
      </c>
      <c r="K71" s="6">
        <v>1</v>
      </c>
      <c r="L71" s="6">
        <v>0</v>
      </c>
      <c r="M71" s="6">
        <v>0</v>
      </c>
      <c r="N71" s="6">
        <v>0</v>
      </c>
      <c r="O71" s="6">
        <v>1</v>
      </c>
      <c r="P71" s="6">
        <v>1</v>
      </c>
    </row>
    <row r="72" spans="1:16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1</v>
      </c>
      <c r="G72" s="6">
        <v>0</v>
      </c>
      <c r="H72" s="6">
        <v>1</v>
      </c>
      <c r="I72" s="6">
        <v>0</v>
      </c>
      <c r="J72" s="6">
        <v>0</v>
      </c>
      <c r="K72" s="6">
        <v>1</v>
      </c>
      <c r="L72" s="6">
        <v>0</v>
      </c>
      <c r="M72" s="6">
        <v>0</v>
      </c>
      <c r="N72" s="6">
        <v>0</v>
      </c>
      <c r="O72" s="6">
        <v>1</v>
      </c>
      <c r="P72" s="6">
        <v>1</v>
      </c>
    </row>
    <row r="73" spans="1:16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1</v>
      </c>
      <c r="G73" s="6">
        <v>0</v>
      </c>
      <c r="H73" s="6">
        <v>1</v>
      </c>
      <c r="I73" s="6">
        <v>0</v>
      </c>
      <c r="J73" s="6">
        <v>0</v>
      </c>
      <c r="K73" s="6">
        <v>1</v>
      </c>
      <c r="L73" s="6">
        <v>0</v>
      </c>
      <c r="M73" s="6">
        <v>0</v>
      </c>
      <c r="N73" s="6">
        <v>0</v>
      </c>
      <c r="O73" s="6">
        <v>1</v>
      </c>
      <c r="P73" s="6">
        <v>1</v>
      </c>
    </row>
    <row r="74" spans="1:16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1</v>
      </c>
      <c r="G74" s="6">
        <v>0</v>
      </c>
      <c r="H74" s="6">
        <v>1</v>
      </c>
      <c r="I74" s="6">
        <v>0</v>
      </c>
      <c r="J74" s="6">
        <v>0</v>
      </c>
      <c r="K74" s="6">
        <v>1</v>
      </c>
      <c r="L74" s="6">
        <v>0</v>
      </c>
      <c r="M74" s="6">
        <v>0</v>
      </c>
      <c r="N74" s="6">
        <v>0</v>
      </c>
      <c r="O74" s="6">
        <v>1</v>
      </c>
      <c r="P74" s="6">
        <v>1</v>
      </c>
    </row>
    <row r="75" spans="1:16" ht="19.5" thickBot="1">
      <c r="A75" s="5">
        <v>0.75</v>
      </c>
      <c r="B75" s="6">
        <v>3</v>
      </c>
      <c r="C75" s="6">
        <v>0</v>
      </c>
      <c r="D75" s="6">
        <v>0</v>
      </c>
      <c r="E75" s="6">
        <v>0</v>
      </c>
      <c r="F75" s="6">
        <v>1</v>
      </c>
      <c r="G75" s="6">
        <v>0</v>
      </c>
      <c r="H75" s="6">
        <v>1</v>
      </c>
      <c r="I75" s="6">
        <v>0</v>
      </c>
      <c r="J75" s="6">
        <v>0</v>
      </c>
      <c r="K75" s="6">
        <v>1</v>
      </c>
      <c r="L75" s="6">
        <v>0</v>
      </c>
      <c r="M75" s="6">
        <v>0</v>
      </c>
      <c r="N75" s="6">
        <v>0</v>
      </c>
      <c r="O75" s="6">
        <v>1</v>
      </c>
      <c r="P75" s="6">
        <v>1</v>
      </c>
    </row>
    <row r="76" spans="1:16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0</v>
      </c>
      <c r="F76" s="6">
        <v>1</v>
      </c>
      <c r="G76" s="6">
        <v>0</v>
      </c>
      <c r="H76" s="6">
        <v>1</v>
      </c>
      <c r="I76" s="6">
        <v>0</v>
      </c>
      <c r="J76" s="6">
        <v>0</v>
      </c>
      <c r="K76" s="6">
        <v>1</v>
      </c>
      <c r="L76" s="6">
        <v>0</v>
      </c>
      <c r="M76" s="6">
        <v>0</v>
      </c>
      <c r="N76" s="6">
        <v>0</v>
      </c>
      <c r="O76" s="6">
        <v>1</v>
      </c>
      <c r="P76" s="6">
        <v>1</v>
      </c>
    </row>
    <row r="77" spans="1:16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0</v>
      </c>
      <c r="F77" s="6">
        <v>1</v>
      </c>
      <c r="G77" s="6">
        <v>0</v>
      </c>
      <c r="H77" s="6">
        <v>1</v>
      </c>
      <c r="I77" s="6">
        <v>0</v>
      </c>
      <c r="J77" s="6">
        <v>0</v>
      </c>
      <c r="K77" s="6">
        <v>1</v>
      </c>
      <c r="L77" s="6">
        <v>0</v>
      </c>
      <c r="M77" s="6">
        <v>0</v>
      </c>
      <c r="N77" s="6">
        <v>0</v>
      </c>
      <c r="O77" s="6">
        <v>1</v>
      </c>
      <c r="P77" s="6">
        <v>1</v>
      </c>
    </row>
    <row r="78" spans="1:16" ht="19.5" thickBot="1">
      <c r="A78" s="5">
        <v>0.78125</v>
      </c>
      <c r="B78" s="6">
        <v>3</v>
      </c>
      <c r="C78" s="6">
        <v>0</v>
      </c>
      <c r="D78" s="6">
        <v>0</v>
      </c>
      <c r="E78" s="6">
        <v>0</v>
      </c>
      <c r="F78" s="6">
        <v>1</v>
      </c>
      <c r="G78" s="6">
        <v>0</v>
      </c>
      <c r="H78" s="6">
        <v>1</v>
      </c>
      <c r="I78" s="6">
        <v>0</v>
      </c>
      <c r="J78" s="6">
        <v>0</v>
      </c>
      <c r="K78" s="6">
        <v>1</v>
      </c>
      <c r="L78" s="6">
        <v>0</v>
      </c>
      <c r="M78" s="6">
        <v>0</v>
      </c>
      <c r="N78" s="6">
        <v>0</v>
      </c>
      <c r="O78" s="6">
        <v>1</v>
      </c>
      <c r="P78" s="6">
        <v>1</v>
      </c>
    </row>
    <row r="79" spans="1:16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0</v>
      </c>
      <c r="F79" s="6">
        <v>1</v>
      </c>
      <c r="G79" s="6">
        <v>0</v>
      </c>
      <c r="H79" s="6">
        <v>1</v>
      </c>
      <c r="I79" s="6">
        <v>0</v>
      </c>
      <c r="J79" s="6">
        <v>0</v>
      </c>
      <c r="K79" s="6">
        <v>1</v>
      </c>
      <c r="L79" s="6">
        <v>0</v>
      </c>
      <c r="M79" s="6">
        <v>0</v>
      </c>
      <c r="N79" s="6">
        <v>0</v>
      </c>
      <c r="O79" s="6">
        <v>1</v>
      </c>
      <c r="P79" s="6">
        <v>1</v>
      </c>
    </row>
    <row r="80" spans="1:16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0</v>
      </c>
      <c r="F80" s="6">
        <v>1</v>
      </c>
      <c r="G80" s="6">
        <v>0</v>
      </c>
      <c r="H80" s="6">
        <v>1</v>
      </c>
      <c r="I80" s="6">
        <v>0</v>
      </c>
      <c r="J80" s="6">
        <v>0</v>
      </c>
      <c r="K80" s="6">
        <v>1</v>
      </c>
      <c r="L80" s="6">
        <v>0</v>
      </c>
      <c r="M80" s="6">
        <v>0</v>
      </c>
      <c r="N80" s="6">
        <v>0</v>
      </c>
      <c r="O80" s="6">
        <v>1</v>
      </c>
      <c r="P80" s="6">
        <v>1</v>
      </c>
    </row>
    <row r="81" spans="1:16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1</v>
      </c>
      <c r="G81" s="6">
        <v>0</v>
      </c>
      <c r="H81" s="6">
        <v>1</v>
      </c>
      <c r="I81" s="6">
        <v>0</v>
      </c>
      <c r="J81" s="6">
        <v>0</v>
      </c>
      <c r="K81" s="6">
        <v>1</v>
      </c>
      <c r="L81" s="6">
        <v>0</v>
      </c>
      <c r="M81" s="6">
        <v>0</v>
      </c>
      <c r="N81" s="6">
        <v>0</v>
      </c>
      <c r="O81" s="6">
        <v>1</v>
      </c>
      <c r="P81" s="6">
        <v>1</v>
      </c>
    </row>
    <row r="82" spans="1:16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1</v>
      </c>
      <c r="G82" s="6">
        <v>0</v>
      </c>
      <c r="H82" s="6">
        <v>1</v>
      </c>
      <c r="I82" s="6">
        <v>0</v>
      </c>
      <c r="J82" s="6">
        <v>0</v>
      </c>
      <c r="K82" s="6">
        <v>1</v>
      </c>
      <c r="L82" s="6">
        <v>0</v>
      </c>
      <c r="M82" s="6">
        <v>0</v>
      </c>
      <c r="N82" s="6">
        <v>0</v>
      </c>
      <c r="O82" s="6">
        <v>1</v>
      </c>
      <c r="P82" s="6">
        <v>1</v>
      </c>
    </row>
    <row r="83" spans="1:16" ht="19.5" thickBot="1">
      <c r="A83" s="5">
        <v>0.83333333333333337</v>
      </c>
      <c r="B83" s="6">
        <v>3</v>
      </c>
      <c r="C83" s="6">
        <v>1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2</v>
      </c>
      <c r="L83" s="6">
        <v>0</v>
      </c>
      <c r="M83" s="6">
        <v>0</v>
      </c>
      <c r="N83" s="6">
        <v>0</v>
      </c>
      <c r="O83" s="6">
        <v>1</v>
      </c>
      <c r="P83" s="6">
        <v>1</v>
      </c>
    </row>
    <row r="84" spans="1:16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2</v>
      </c>
      <c r="L84" s="6">
        <v>0</v>
      </c>
      <c r="M84" s="6">
        <v>0</v>
      </c>
      <c r="N84" s="6">
        <v>0</v>
      </c>
      <c r="O84" s="6">
        <v>1</v>
      </c>
      <c r="P84" s="6">
        <v>1</v>
      </c>
    </row>
    <row r="85" spans="1:16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2</v>
      </c>
      <c r="L85" s="6">
        <v>0</v>
      </c>
      <c r="M85" s="6">
        <v>0</v>
      </c>
      <c r="N85" s="6">
        <v>0</v>
      </c>
      <c r="O85" s="6">
        <v>1</v>
      </c>
      <c r="P85" s="6">
        <v>1</v>
      </c>
    </row>
    <row r="86" spans="1:16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2</v>
      </c>
      <c r="L86" s="6">
        <v>0</v>
      </c>
      <c r="M86" s="6">
        <v>0</v>
      </c>
      <c r="N86" s="6">
        <v>0</v>
      </c>
      <c r="O86" s="6">
        <v>1</v>
      </c>
      <c r="P86" s="6">
        <v>1</v>
      </c>
    </row>
    <row r="87" spans="1:16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2</v>
      </c>
      <c r="L87" s="6">
        <v>0</v>
      </c>
      <c r="M87" s="6">
        <v>0</v>
      </c>
      <c r="N87" s="6">
        <v>0</v>
      </c>
      <c r="O87" s="6">
        <v>1</v>
      </c>
      <c r="P87" s="6">
        <v>1</v>
      </c>
    </row>
    <row r="88" spans="1:16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1</v>
      </c>
      <c r="L88" s="6">
        <v>0</v>
      </c>
      <c r="M88" s="6">
        <v>0</v>
      </c>
      <c r="N88" s="6">
        <v>0</v>
      </c>
      <c r="O88" s="6">
        <v>1</v>
      </c>
      <c r="P88" s="6">
        <v>1</v>
      </c>
    </row>
    <row r="89" spans="1:16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1</v>
      </c>
      <c r="L89" s="6">
        <v>0</v>
      </c>
      <c r="M89" s="6">
        <v>0</v>
      </c>
      <c r="N89" s="6">
        <v>0</v>
      </c>
      <c r="O89" s="6">
        <v>1</v>
      </c>
      <c r="P89" s="6">
        <v>1</v>
      </c>
    </row>
    <row r="90" spans="1:16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1</v>
      </c>
      <c r="L90" s="6">
        <v>0</v>
      </c>
      <c r="M90" s="6">
        <v>0</v>
      </c>
      <c r="N90" s="6">
        <v>1</v>
      </c>
      <c r="O90" s="6">
        <v>1</v>
      </c>
      <c r="P90" s="6">
        <v>1</v>
      </c>
    </row>
    <row r="91" spans="1:16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1</v>
      </c>
      <c r="G91" s="6">
        <v>0</v>
      </c>
      <c r="H91" s="6">
        <v>2</v>
      </c>
      <c r="I91" s="6">
        <v>0</v>
      </c>
      <c r="J91" s="6">
        <v>0</v>
      </c>
      <c r="K91" s="6">
        <v>1</v>
      </c>
      <c r="L91" s="6">
        <v>1</v>
      </c>
      <c r="M91" s="6">
        <v>0</v>
      </c>
      <c r="N91" s="6">
        <v>0</v>
      </c>
      <c r="O91" s="6">
        <v>1</v>
      </c>
      <c r="P91" s="6">
        <v>1</v>
      </c>
    </row>
    <row r="92" spans="1:16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1</v>
      </c>
      <c r="G92" s="6">
        <v>0</v>
      </c>
      <c r="H92" s="6">
        <v>1</v>
      </c>
      <c r="I92" s="6">
        <v>0</v>
      </c>
      <c r="J92" s="6">
        <v>0</v>
      </c>
      <c r="K92" s="6">
        <v>1</v>
      </c>
      <c r="L92" s="6">
        <v>1</v>
      </c>
      <c r="M92" s="6">
        <v>0</v>
      </c>
      <c r="N92" s="6">
        <v>0</v>
      </c>
      <c r="O92" s="6">
        <v>1</v>
      </c>
      <c r="P92" s="6">
        <v>1</v>
      </c>
    </row>
    <row r="93" spans="1:16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0</v>
      </c>
      <c r="H93" s="6">
        <v>1</v>
      </c>
      <c r="I93" s="6">
        <v>0</v>
      </c>
      <c r="J93" s="6">
        <v>0</v>
      </c>
      <c r="K93" s="6">
        <v>1</v>
      </c>
      <c r="L93" s="6">
        <v>1</v>
      </c>
      <c r="M93" s="6">
        <v>0</v>
      </c>
      <c r="N93" s="6">
        <v>0</v>
      </c>
      <c r="O93" s="6">
        <v>1</v>
      </c>
      <c r="P93" s="6">
        <v>1</v>
      </c>
    </row>
    <row r="94" spans="1:16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0</v>
      </c>
      <c r="H94" s="6">
        <v>1</v>
      </c>
      <c r="I94" s="6">
        <v>0</v>
      </c>
      <c r="J94" s="6">
        <v>0</v>
      </c>
      <c r="K94" s="6">
        <v>1</v>
      </c>
      <c r="L94" s="6">
        <v>1</v>
      </c>
      <c r="M94" s="6">
        <v>0</v>
      </c>
      <c r="N94" s="6">
        <v>0</v>
      </c>
      <c r="O94" s="6">
        <v>1</v>
      </c>
      <c r="P94" s="6">
        <v>1</v>
      </c>
    </row>
    <row r="95" spans="1:16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0</v>
      </c>
      <c r="M95" s="6">
        <v>0</v>
      </c>
      <c r="N95" s="6">
        <v>1</v>
      </c>
      <c r="O95" s="6">
        <v>1</v>
      </c>
      <c r="P95" s="6">
        <v>1</v>
      </c>
    </row>
    <row r="96" spans="1:16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0</v>
      </c>
      <c r="M96" s="6">
        <v>0</v>
      </c>
      <c r="N96" s="6">
        <v>0</v>
      </c>
      <c r="O96" s="6">
        <v>1</v>
      </c>
      <c r="P96" s="6">
        <v>1</v>
      </c>
    </row>
    <row r="97" spans="1:16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0</v>
      </c>
      <c r="M97" s="6">
        <v>0</v>
      </c>
      <c r="N97" s="6">
        <v>0</v>
      </c>
      <c r="O97" s="6">
        <v>1</v>
      </c>
      <c r="P97" s="6">
        <v>1</v>
      </c>
    </row>
    <row r="98" spans="1:16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0</v>
      </c>
      <c r="M98" s="6">
        <v>0</v>
      </c>
      <c r="N98" s="6">
        <v>0</v>
      </c>
      <c r="O98" s="6">
        <v>1</v>
      </c>
      <c r="P98" s="6">
        <v>1</v>
      </c>
    </row>
  </sheetData>
  <mergeCells count="5">
    <mergeCell ref="B1:E1"/>
    <mergeCell ref="F1:I1"/>
    <mergeCell ref="K1:L1"/>
    <mergeCell ref="M1:N1"/>
    <mergeCell ref="O1:P1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B45A9-6D3D-4475-81ED-A25E9A296B1E}">
  <sheetPr codeName="Sheet9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19</v>
      </c>
      <c r="B1" s="8" t="s">
        <v>20</v>
      </c>
      <c r="C1" s="7"/>
      <c r="D1" s="7"/>
      <c r="E1" s="9"/>
      <c r="F1" s="8" t="s">
        <v>21</v>
      </c>
      <c r="G1" s="7"/>
      <c r="H1" s="7"/>
      <c r="I1" s="9"/>
      <c r="J1" s="2" t="s">
        <v>22</v>
      </c>
      <c r="K1" s="8" t="s">
        <v>25</v>
      </c>
      <c r="L1" s="9"/>
      <c r="M1" s="2" t="s">
        <v>44</v>
      </c>
    </row>
    <row r="2" spans="1:13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41</v>
      </c>
      <c r="L2" s="4" t="s">
        <v>42</v>
      </c>
      <c r="M2" s="4" t="s">
        <v>43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1</v>
      </c>
      <c r="M29" s="6">
        <v>1</v>
      </c>
    </row>
    <row r="30" spans="1:13" ht="19.5" thickBot="1">
      <c r="A30" s="5">
        <v>0.28125</v>
      </c>
      <c r="B30" s="6">
        <v>3</v>
      </c>
      <c r="C30" s="6">
        <v>1</v>
      </c>
      <c r="D30" s="6">
        <v>1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0</v>
      </c>
      <c r="L31" s="6">
        <v>1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0</v>
      </c>
      <c r="L32" s="6">
        <v>1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0</v>
      </c>
      <c r="L37" s="6">
        <v>0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1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0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1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1</v>
      </c>
      <c r="D71" s="6">
        <v>0</v>
      </c>
      <c r="E71" s="6">
        <v>0</v>
      </c>
      <c r="F71" s="6">
        <v>2</v>
      </c>
      <c r="G71" s="6">
        <v>0</v>
      </c>
      <c r="H71" s="6">
        <v>1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1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2</v>
      </c>
      <c r="G73" s="6">
        <v>0</v>
      </c>
      <c r="H73" s="6">
        <v>1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2</v>
      </c>
      <c r="G74" s="6">
        <v>0</v>
      </c>
      <c r="H74" s="6">
        <v>1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1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1</v>
      </c>
      <c r="E77" s="6">
        <v>1</v>
      </c>
      <c r="F77" s="6">
        <v>2</v>
      </c>
      <c r="G77" s="6">
        <v>0</v>
      </c>
      <c r="H77" s="6">
        <v>1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1</v>
      </c>
      <c r="F78" s="6">
        <v>2</v>
      </c>
      <c r="G78" s="6">
        <v>0</v>
      </c>
      <c r="H78" s="6">
        <v>1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1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2</v>
      </c>
      <c r="F81" s="6">
        <v>2</v>
      </c>
      <c r="G81" s="6">
        <v>0</v>
      </c>
      <c r="H81" s="6">
        <v>1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2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0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0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1</v>
      </c>
      <c r="H91" s="6">
        <v>1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1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1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1</v>
      </c>
      <c r="H94" s="6">
        <v>1</v>
      </c>
      <c r="I94" s="6">
        <v>0</v>
      </c>
      <c r="J94" s="6">
        <v>0</v>
      </c>
      <c r="K94" s="6">
        <v>0</v>
      </c>
      <c r="L94" s="6">
        <v>0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1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3D7E5-0443-423E-93AF-A1C2AAF9A427}">
  <sheetPr codeName="Sheet10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19</v>
      </c>
      <c r="B1" s="8" t="s">
        <v>20</v>
      </c>
      <c r="C1" s="7"/>
      <c r="D1" s="7"/>
      <c r="E1" s="9"/>
      <c r="F1" s="8" t="s">
        <v>21</v>
      </c>
      <c r="G1" s="7"/>
      <c r="H1" s="7"/>
      <c r="I1" s="9"/>
      <c r="J1" s="2" t="s">
        <v>22</v>
      </c>
      <c r="K1" s="8" t="s">
        <v>25</v>
      </c>
      <c r="L1" s="9"/>
      <c r="M1" s="2" t="s">
        <v>44</v>
      </c>
    </row>
    <row r="2" spans="1:13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41</v>
      </c>
      <c r="L2" s="4" t="s">
        <v>42</v>
      </c>
      <c r="M2" s="4" t="s">
        <v>43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0</v>
      </c>
      <c r="M29" s="6">
        <v>1</v>
      </c>
    </row>
    <row r="30" spans="1:13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1</v>
      </c>
      <c r="G31" s="6">
        <v>0</v>
      </c>
      <c r="H31" s="6">
        <v>1</v>
      </c>
      <c r="I31" s="6">
        <v>0</v>
      </c>
      <c r="J31" s="6">
        <v>0</v>
      </c>
      <c r="K31" s="6">
        <v>0</v>
      </c>
      <c r="L31" s="6">
        <v>0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1</v>
      </c>
      <c r="G32" s="6">
        <v>0</v>
      </c>
      <c r="H32" s="6">
        <v>1</v>
      </c>
      <c r="I32" s="6">
        <v>0</v>
      </c>
      <c r="J32" s="6">
        <v>0</v>
      </c>
      <c r="K32" s="6">
        <v>0</v>
      </c>
      <c r="L32" s="6">
        <v>1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1</v>
      </c>
      <c r="G33" s="6">
        <v>0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1</v>
      </c>
      <c r="D34" s="6">
        <v>0</v>
      </c>
      <c r="E34" s="6">
        <v>0</v>
      </c>
      <c r="F34" s="6">
        <v>1</v>
      </c>
      <c r="G34" s="6">
        <v>0</v>
      </c>
      <c r="H34" s="6">
        <v>1</v>
      </c>
      <c r="I34" s="6">
        <v>0</v>
      </c>
      <c r="J34" s="6">
        <v>0</v>
      </c>
      <c r="K34" s="6">
        <v>0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1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0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1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0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1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0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2</v>
      </c>
      <c r="G43" s="6">
        <v>1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2</v>
      </c>
      <c r="G44" s="6">
        <v>1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2</v>
      </c>
      <c r="G45" s="6">
        <v>1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2</v>
      </c>
      <c r="G46" s="6">
        <v>1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2</v>
      </c>
      <c r="G47" s="6">
        <v>1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2</v>
      </c>
      <c r="G48" s="6">
        <v>1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2</v>
      </c>
      <c r="G49" s="6">
        <v>1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2</v>
      </c>
      <c r="G50" s="6">
        <v>1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1</v>
      </c>
      <c r="D67" s="6">
        <v>0</v>
      </c>
      <c r="E67" s="6">
        <v>0</v>
      </c>
      <c r="F67" s="6">
        <v>1</v>
      </c>
      <c r="G67" s="6">
        <v>0</v>
      </c>
      <c r="H67" s="6">
        <v>2</v>
      </c>
      <c r="I67" s="6">
        <v>0</v>
      </c>
      <c r="J67" s="6">
        <v>1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2</v>
      </c>
      <c r="G68" s="6">
        <v>0</v>
      </c>
      <c r="H68" s="6">
        <v>2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2</v>
      </c>
      <c r="G69" s="6">
        <v>0</v>
      </c>
      <c r="H69" s="6">
        <v>2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2</v>
      </c>
      <c r="G70" s="6">
        <v>0</v>
      </c>
      <c r="H70" s="6">
        <v>2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2</v>
      </c>
      <c r="G71" s="6">
        <v>0</v>
      </c>
      <c r="H71" s="6">
        <v>2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2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1</v>
      </c>
      <c r="E73" s="6">
        <v>1</v>
      </c>
      <c r="F73" s="6">
        <v>2</v>
      </c>
      <c r="G73" s="6">
        <v>0</v>
      </c>
      <c r="H73" s="6">
        <v>2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1</v>
      </c>
      <c r="F74" s="6">
        <v>2</v>
      </c>
      <c r="G74" s="6">
        <v>0</v>
      </c>
      <c r="H74" s="6">
        <v>2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2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2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2</v>
      </c>
      <c r="F77" s="6">
        <v>2</v>
      </c>
      <c r="G77" s="6">
        <v>0</v>
      </c>
      <c r="H77" s="6">
        <v>2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2</v>
      </c>
      <c r="F78" s="6">
        <v>2</v>
      </c>
      <c r="G78" s="6">
        <v>0</v>
      </c>
      <c r="H78" s="6">
        <v>2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2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2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2</v>
      </c>
      <c r="G81" s="6">
        <v>0</v>
      </c>
      <c r="H81" s="6">
        <v>2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0</v>
      </c>
      <c r="H91" s="6">
        <v>1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0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2</v>
      </c>
      <c r="G93" s="6">
        <v>0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2</v>
      </c>
      <c r="G94" s="6">
        <v>0</v>
      </c>
      <c r="H94" s="6">
        <v>1</v>
      </c>
      <c r="I94" s="6">
        <v>0</v>
      </c>
      <c r="J94" s="6">
        <v>0</v>
      </c>
      <c r="K94" s="6">
        <v>0</v>
      </c>
      <c r="L94" s="6">
        <v>1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0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19C65-CB0E-4E29-9384-0817C4FD19B4}">
  <sheetPr codeName="Sheet11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19</v>
      </c>
      <c r="B1" s="8" t="s">
        <v>20</v>
      </c>
      <c r="C1" s="7"/>
      <c r="D1" s="7"/>
      <c r="E1" s="9"/>
      <c r="F1" s="8" t="s">
        <v>21</v>
      </c>
      <c r="G1" s="7"/>
      <c r="H1" s="7"/>
      <c r="I1" s="9"/>
      <c r="J1" s="2" t="s">
        <v>22</v>
      </c>
      <c r="K1" s="8" t="s">
        <v>25</v>
      </c>
      <c r="L1" s="9"/>
      <c r="M1" s="2" t="s">
        <v>44</v>
      </c>
    </row>
    <row r="2" spans="1:13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41</v>
      </c>
      <c r="L2" s="4" t="s">
        <v>42</v>
      </c>
      <c r="M2" s="4" t="s">
        <v>43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1</v>
      </c>
      <c r="M29" s="6">
        <v>1</v>
      </c>
    </row>
    <row r="30" spans="1:13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0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0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1</v>
      </c>
      <c r="J33" s="6">
        <v>0</v>
      </c>
      <c r="K33" s="6">
        <v>1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0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0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1</v>
      </c>
      <c r="D36" s="6">
        <v>1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0</v>
      </c>
      <c r="L36" s="6">
        <v>1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0</v>
      </c>
      <c r="L37" s="6">
        <v>0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1</v>
      </c>
      <c r="G39" s="6">
        <v>0</v>
      </c>
      <c r="H39" s="6">
        <v>1</v>
      </c>
      <c r="I39" s="6">
        <v>0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1</v>
      </c>
      <c r="G40" s="6">
        <v>0</v>
      </c>
      <c r="H40" s="6">
        <v>1</v>
      </c>
      <c r="I40" s="6">
        <v>0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1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1</v>
      </c>
      <c r="G42" s="6">
        <v>0</v>
      </c>
      <c r="H42" s="6">
        <v>1</v>
      </c>
      <c r="I42" s="6">
        <v>0</v>
      </c>
      <c r="J42" s="6">
        <v>0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0</v>
      </c>
      <c r="D51" s="6">
        <v>0</v>
      </c>
      <c r="E51" s="6">
        <v>0</v>
      </c>
      <c r="F51" s="6">
        <v>1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1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1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1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1</v>
      </c>
      <c r="G71" s="6">
        <v>0</v>
      </c>
      <c r="H71" s="6">
        <v>1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1</v>
      </c>
      <c r="G72" s="6">
        <v>0</v>
      </c>
      <c r="H72" s="6">
        <v>1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1</v>
      </c>
      <c r="G73" s="6">
        <v>0</v>
      </c>
      <c r="H73" s="6">
        <v>1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1</v>
      </c>
      <c r="G74" s="6">
        <v>0</v>
      </c>
      <c r="H74" s="6">
        <v>1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0</v>
      </c>
      <c r="F75" s="6">
        <v>1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0</v>
      </c>
      <c r="F76" s="6">
        <v>1</v>
      </c>
      <c r="G76" s="6">
        <v>0</v>
      </c>
      <c r="H76" s="6">
        <v>1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0</v>
      </c>
      <c r="F77" s="6">
        <v>1</v>
      </c>
      <c r="G77" s="6">
        <v>0</v>
      </c>
      <c r="H77" s="6">
        <v>1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0</v>
      </c>
      <c r="F78" s="6">
        <v>1</v>
      </c>
      <c r="G78" s="6">
        <v>0</v>
      </c>
      <c r="H78" s="6">
        <v>1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0</v>
      </c>
      <c r="F79" s="6">
        <v>1</v>
      </c>
      <c r="G79" s="6">
        <v>0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0</v>
      </c>
      <c r="F80" s="6">
        <v>1</v>
      </c>
      <c r="G80" s="6">
        <v>0</v>
      </c>
      <c r="H80" s="6">
        <v>1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1</v>
      </c>
      <c r="G81" s="6">
        <v>0</v>
      </c>
      <c r="H81" s="6">
        <v>1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1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1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1</v>
      </c>
      <c r="G91" s="6">
        <v>0</v>
      </c>
      <c r="H91" s="6">
        <v>2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1</v>
      </c>
      <c r="G92" s="6">
        <v>0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0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0</v>
      </c>
      <c r="H94" s="6">
        <v>1</v>
      </c>
      <c r="I94" s="6">
        <v>0</v>
      </c>
      <c r="J94" s="6">
        <v>0</v>
      </c>
      <c r="K94" s="6">
        <v>0</v>
      </c>
      <c r="L94" s="6">
        <v>0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1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F023E-0C2B-4FF9-A82E-02F66C3B7891}">
  <sheetPr codeName="Sheet12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19</v>
      </c>
      <c r="B1" s="8" t="s">
        <v>20</v>
      </c>
      <c r="C1" s="7"/>
      <c r="D1" s="7"/>
      <c r="E1" s="9"/>
      <c r="F1" s="8" t="s">
        <v>21</v>
      </c>
      <c r="G1" s="7"/>
      <c r="H1" s="7"/>
      <c r="I1" s="9"/>
      <c r="J1" s="2" t="s">
        <v>22</v>
      </c>
      <c r="K1" s="8" t="s">
        <v>25</v>
      </c>
      <c r="L1" s="9"/>
      <c r="M1" s="2" t="s">
        <v>44</v>
      </c>
    </row>
    <row r="2" spans="1:13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41</v>
      </c>
      <c r="L2" s="4" t="s">
        <v>42</v>
      </c>
      <c r="M2" s="4" t="s">
        <v>43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1</v>
      </c>
      <c r="M29" s="6">
        <v>1</v>
      </c>
    </row>
    <row r="30" spans="1:13" ht="19.5" thickBot="1">
      <c r="A30" s="5">
        <v>0.28125</v>
      </c>
      <c r="B30" s="6">
        <v>3</v>
      </c>
      <c r="C30" s="6">
        <v>1</v>
      </c>
      <c r="D30" s="6">
        <v>1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0</v>
      </c>
      <c r="L31" s="6">
        <v>1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0</v>
      </c>
      <c r="L32" s="6">
        <v>1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0</v>
      </c>
      <c r="L37" s="6">
        <v>0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1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0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1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1</v>
      </c>
      <c r="D71" s="6">
        <v>0</v>
      </c>
      <c r="E71" s="6">
        <v>0</v>
      </c>
      <c r="F71" s="6">
        <v>2</v>
      </c>
      <c r="G71" s="6">
        <v>0</v>
      </c>
      <c r="H71" s="6">
        <v>1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1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2</v>
      </c>
      <c r="G73" s="6">
        <v>0</v>
      </c>
      <c r="H73" s="6">
        <v>1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2</v>
      </c>
      <c r="G74" s="6">
        <v>0</v>
      </c>
      <c r="H74" s="6">
        <v>1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1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1</v>
      </c>
      <c r="E77" s="6">
        <v>1</v>
      </c>
      <c r="F77" s="6">
        <v>2</v>
      </c>
      <c r="G77" s="6">
        <v>0</v>
      </c>
      <c r="H77" s="6">
        <v>1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1</v>
      </c>
      <c r="F78" s="6">
        <v>2</v>
      </c>
      <c r="G78" s="6">
        <v>0</v>
      </c>
      <c r="H78" s="6">
        <v>1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1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2</v>
      </c>
      <c r="F81" s="6">
        <v>2</v>
      </c>
      <c r="G81" s="6">
        <v>0</v>
      </c>
      <c r="H81" s="6">
        <v>1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2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0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0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1</v>
      </c>
      <c r="H91" s="6">
        <v>1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1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1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1</v>
      </c>
      <c r="H94" s="6">
        <v>1</v>
      </c>
      <c r="I94" s="6">
        <v>0</v>
      </c>
      <c r="J94" s="6">
        <v>0</v>
      </c>
      <c r="K94" s="6">
        <v>0</v>
      </c>
      <c r="L94" s="6">
        <v>0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1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296CE-0A9C-4B4E-8C9D-831935281A3A}">
  <sheetPr codeName="Sheet13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19</v>
      </c>
      <c r="B1" s="8" t="s">
        <v>20</v>
      </c>
      <c r="C1" s="7"/>
      <c r="D1" s="7"/>
      <c r="E1" s="9"/>
      <c r="F1" s="8" t="s">
        <v>21</v>
      </c>
      <c r="G1" s="7"/>
      <c r="H1" s="7"/>
      <c r="I1" s="9"/>
      <c r="J1" s="2" t="s">
        <v>22</v>
      </c>
      <c r="K1" s="8" t="s">
        <v>25</v>
      </c>
      <c r="L1" s="9"/>
      <c r="M1" s="2" t="s">
        <v>44</v>
      </c>
    </row>
    <row r="2" spans="1:13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41</v>
      </c>
      <c r="L2" s="4" t="s">
        <v>42</v>
      </c>
      <c r="M2" s="4" t="s">
        <v>43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1</v>
      </c>
      <c r="M29" s="6">
        <v>1</v>
      </c>
    </row>
    <row r="30" spans="1:13" ht="19.5" thickBot="1">
      <c r="A30" s="5">
        <v>0.28125</v>
      </c>
      <c r="B30" s="6">
        <v>3</v>
      </c>
      <c r="C30" s="6">
        <v>1</v>
      </c>
      <c r="D30" s="6">
        <v>1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0</v>
      </c>
      <c r="L31" s="6">
        <v>1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0</v>
      </c>
      <c r="L32" s="6">
        <v>1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0</v>
      </c>
      <c r="L37" s="6">
        <v>0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1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0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1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1</v>
      </c>
      <c r="D71" s="6">
        <v>0</v>
      </c>
      <c r="E71" s="6">
        <v>0</v>
      </c>
      <c r="F71" s="6">
        <v>2</v>
      </c>
      <c r="G71" s="6">
        <v>0</v>
      </c>
      <c r="H71" s="6">
        <v>1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1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2</v>
      </c>
      <c r="G73" s="6">
        <v>0</v>
      </c>
      <c r="H73" s="6">
        <v>1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2</v>
      </c>
      <c r="G74" s="6">
        <v>0</v>
      </c>
      <c r="H74" s="6">
        <v>1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1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1</v>
      </c>
      <c r="E77" s="6">
        <v>1</v>
      </c>
      <c r="F77" s="6">
        <v>2</v>
      </c>
      <c r="G77" s="6">
        <v>0</v>
      </c>
      <c r="H77" s="6">
        <v>1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1</v>
      </c>
      <c r="F78" s="6">
        <v>2</v>
      </c>
      <c r="G78" s="6">
        <v>0</v>
      </c>
      <c r="H78" s="6">
        <v>1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1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2</v>
      </c>
      <c r="F81" s="6">
        <v>2</v>
      </c>
      <c r="G81" s="6">
        <v>0</v>
      </c>
      <c r="H81" s="6">
        <v>1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2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0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0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1</v>
      </c>
      <c r="H91" s="6">
        <v>1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1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1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1</v>
      </c>
      <c r="H94" s="6">
        <v>1</v>
      </c>
      <c r="I94" s="6">
        <v>0</v>
      </c>
      <c r="J94" s="6">
        <v>0</v>
      </c>
      <c r="K94" s="6">
        <v>0</v>
      </c>
      <c r="L94" s="6">
        <v>0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1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78212-EAD7-4910-A85D-87E48D4E8474}">
  <sheetPr codeName="Sheet14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19</v>
      </c>
      <c r="B1" s="8" t="s">
        <v>20</v>
      </c>
      <c r="C1" s="7"/>
      <c r="D1" s="7"/>
      <c r="E1" s="9"/>
      <c r="F1" s="8" t="s">
        <v>21</v>
      </c>
      <c r="G1" s="7"/>
      <c r="H1" s="7"/>
      <c r="I1" s="9"/>
      <c r="J1" s="2" t="s">
        <v>22</v>
      </c>
      <c r="K1" s="8" t="s">
        <v>25</v>
      </c>
      <c r="L1" s="9"/>
      <c r="M1" s="2" t="s">
        <v>44</v>
      </c>
    </row>
    <row r="2" spans="1:13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41</v>
      </c>
      <c r="L2" s="4" t="s">
        <v>42</v>
      </c>
      <c r="M2" s="4" t="s">
        <v>43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1</v>
      </c>
      <c r="M29" s="6">
        <v>1</v>
      </c>
    </row>
    <row r="30" spans="1:13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0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0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1</v>
      </c>
      <c r="J33" s="6">
        <v>0</v>
      </c>
      <c r="K33" s="6">
        <v>1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0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0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1</v>
      </c>
      <c r="D36" s="6">
        <v>1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0</v>
      </c>
      <c r="L36" s="6">
        <v>1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0</v>
      </c>
      <c r="L37" s="6">
        <v>0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1</v>
      </c>
      <c r="G39" s="6">
        <v>0</v>
      </c>
      <c r="H39" s="6">
        <v>1</v>
      </c>
      <c r="I39" s="6">
        <v>0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1</v>
      </c>
      <c r="G40" s="6">
        <v>0</v>
      </c>
      <c r="H40" s="6">
        <v>1</v>
      </c>
      <c r="I40" s="6">
        <v>0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1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1</v>
      </c>
      <c r="G42" s="6">
        <v>0</v>
      </c>
      <c r="H42" s="6">
        <v>1</v>
      </c>
      <c r="I42" s="6">
        <v>0</v>
      </c>
      <c r="J42" s="6">
        <v>0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0</v>
      </c>
      <c r="D51" s="6">
        <v>0</v>
      </c>
      <c r="E51" s="6">
        <v>0</v>
      </c>
      <c r="F51" s="6">
        <v>1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1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1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1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1</v>
      </c>
      <c r="G71" s="6">
        <v>0</v>
      </c>
      <c r="H71" s="6">
        <v>1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1</v>
      </c>
      <c r="G72" s="6">
        <v>0</v>
      </c>
      <c r="H72" s="6">
        <v>1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1</v>
      </c>
      <c r="G73" s="6">
        <v>0</v>
      </c>
      <c r="H73" s="6">
        <v>1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1</v>
      </c>
      <c r="G74" s="6">
        <v>0</v>
      </c>
      <c r="H74" s="6">
        <v>1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0</v>
      </c>
      <c r="F75" s="6">
        <v>1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0</v>
      </c>
      <c r="F76" s="6">
        <v>1</v>
      </c>
      <c r="G76" s="6">
        <v>0</v>
      </c>
      <c r="H76" s="6">
        <v>1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0</v>
      </c>
      <c r="F77" s="6">
        <v>1</v>
      </c>
      <c r="G77" s="6">
        <v>0</v>
      </c>
      <c r="H77" s="6">
        <v>1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0</v>
      </c>
      <c r="F78" s="6">
        <v>1</v>
      </c>
      <c r="G78" s="6">
        <v>0</v>
      </c>
      <c r="H78" s="6">
        <v>1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0</v>
      </c>
      <c r="F79" s="6">
        <v>1</v>
      </c>
      <c r="G79" s="6">
        <v>0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0</v>
      </c>
      <c r="F80" s="6">
        <v>1</v>
      </c>
      <c r="G80" s="6">
        <v>0</v>
      </c>
      <c r="H80" s="6">
        <v>1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1</v>
      </c>
      <c r="G81" s="6">
        <v>0</v>
      </c>
      <c r="H81" s="6">
        <v>1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1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1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1</v>
      </c>
      <c r="G91" s="6">
        <v>0</v>
      </c>
      <c r="H91" s="6">
        <v>2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1</v>
      </c>
      <c r="G92" s="6">
        <v>0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0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0</v>
      </c>
      <c r="H94" s="6">
        <v>1</v>
      </c>
      <c r="I94" s="6">
        <v>0</v>
      </c>
      <c r="J94" s="6">
        <v>0</v>
      </c>
      <c r="K94" s="6">
        <v>0</v>
      </c>
      <c r="L94" s="6">
        <v>0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1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23</vt:i4>
      </vt:variant>
    </vt:vector>
  </HeadingPairs>
  <TitlesOfParts>
    <vt:vector size="37" baseType="lpstr">
      <vt:lpstr>UI</vt:lpstr>
      <vt:lpstr>buff</vt:lpstr>
      <vt:lpstr>DB_4平</vt:lpstr>
      <vt:lpstr>DB_4休在</vt:lpstr>
      <vt:lpstr>DB_4休外</vt:lpstr>
      <vt:lpstr>DB_3平</vt:lpstr>
      <vt:lpstr>DB_3休在</vt:lpstr>
      <vt:lpstr>DB_3休外</vt:lpstr>
      <vt:lpstr>DB_2平</vt:lpstr>
      <vt:lpstr>DB_2休在</vt:lpstr>
      <vt:lpstr>DB_2休外</vt:lpstr>
      <vt:lpstr>DB_1平</vt:lpstr>
      <vt:lpstr>DB_1休在</vt:lpstr>
      <vt:lpstr>DB_1休外</vt:lpstr>
      <vt:lpstr>_column_heijitsu_hourly_mode_0</vt:lpstr>
      <vt:lpstr>_column_heijitsu_hourly_mode_1</vt:lpstr>
      <vt:lpstr>_column_heijitsu_hourly_mode_2</vt:lpstr>
      <vt:lpstr>_column_heijitsu_hourly_mode_3</vt:lpstr>
      <vt:lpstr>_column_kyuujitsuGaishutsu_hourly_mode_0</vt:lpstr>
      <vt:lpstr>_column_kyuujitsuGaishutsu_hourly_mode_1</vt:lpstr>
      <vt:lpstr>_column_kyuujitsuGaishutsu_hourly_mode_2</vt:lpstr>
      <vt:lpstr>_column_kyuujitsuGaishutsu_hourly_mode_3</vt:lpstr>
      <vt:lpstr>_column_kyuujitsuZaitaku_hourly_mode_0</vt:lpstr>
      <vt:lpstr>_column_kyuujitsuZaitaku_hourly_mode_1</vt:lpstr>
      <vt:lpstr>_column_kyuujitsuZaitaku_hourly_mode_2</vt:lpstr>
      <vt:lpstr>_column_kyuujitsuZaitaku_hourly_mode_3</vt:lpstr>
      <vt:lpstr>_homeApplicance_ID</vt:lpstr>
      <vt:lpstr>_homeApplicance_Name</vt:lpstr>
      <vt:lpstr>_number_of_people</vt:lpstr>
      <vt:lpstr>_operationName_1</vt:lpstr>
      <vt:lpstr>_operationName_2</vt:lpstr>
      <vt:lpstr>_operationName_3</vt:lpstr>
      <vt:lpstr>_operationName_4</vt:lpstr>
      <vt:lpstr>_operationName_of_mode_0</vt:lpstr>
      <vt:lpstr>_operationName_of_mode_1</vt:lpstr>
      <vt:lpstr>_operationName_of_mode_2</vt:lpstr>
      <vt:lpstr>_operationName_of_mode_3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mineno</dc:creator>
  <cp:lastModifiedBy>mineno</cp:lastModifiedBy>
  <dcterms:created xsi:type="dcterms:W3CDTF">2015-06-05T18:19:34Z</dcterms:created>
  <dcterms:modified xsi:type="dcterms:W3CDTF">2020-01-10T11:56:32Z</dcterms:modified>
</cp:coreProperties>
</file>