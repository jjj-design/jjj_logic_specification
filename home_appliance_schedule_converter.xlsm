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eno\Desktop\git-jjj\0108a\jjj_logic_specification\"/>
    </mc:Choice>
  </mc:AlternateContent>
  <xr:revisionPtr revIDLastSave="0" documentId="13_ncr:1_{FA2F1ABA-D41D-4A61-BEC6-4DCD5254D08B}" xr6:coauthVersionLast="45" xr6:coauthVersionMax="45" xr10:uidLastSave="{00000000-0000-0000-0000-000000000000}"/>
  <bookViews>
    <workbookView xWindow="-120" yWindow="-120" windowWidth="29040" windowHeight="15840" tabRatio="836" xr2:uid="{00000000-000D-0000-FFFF-FFFF00000000}"/>
  </bookViews>
  <sheets>
    <sheet name="UI" sheetId="3" r:id="rId1"/>
    <sheet name="buff" sheetId="1" r:id="rId2"/>
    <sheet name="DB_4平" sheetId="5" r:id="rId3"/>
    <sheet name="DB_4休在" sheetId="6" r:id="rId4"/>
    <sheet name="DB_4休外" sheetId="7" r:id="rId5"/>
    <sheet name="DB_3平" sheetId="8" r:id="rId6"/>
    <sheet name="DB_3休在" sheetId="9" r:id="rId7"/>
    <sheet name="DB_3休外" sheetId="10" r:id="rId8"/>
    <sheet name="DB_2平" sheetId="11" r:id="rId9"/>
    <sheet name="DB_2休在" sheetId="12" r:id="rId10"/>
    <sheet name="DB_2休外" sheetId="13" r:id="rId11"/>
    <sheet name="DB_1平" sheetId="14" r:id="rId12"/>
    <sheet name="DB_1休在" sheetId="15" r:id="rId13"/>
    <sheet name="DB_1休外" sheetId="16" r:id="rId14"/>
  </sheets>
  <definedNames>
    <definedName name="_column_heijitsu_hourly_mode_0">UI!$CL$10:$CL$33</definedName>
    <definedName name="_column_heijitsu_hourly_mode_1">UI!$CS$10:$CS$33</definedName>
    <definedName name="_column_heijitsu_hourly_mode_2">UI!$CZ$10:$CZ$33</definedName>
    <definedName name="_column_heijitsu_hourly_mode_3">UI!$DG$10:$DG$33</definedName>
    <definedName name="_column_heijitsu_hourly_mode_counts_0">UI!$CL$37:$CL$60</definedName>
    <definedName name="_column_heijitsu_hourly_mode_counts_1">UI!$CS$37:$CS$60</definedName>
    <definedName name="_column_heijitsu_hourly_mode_counts_2">UI!$CZ$37:$CZ$60</definedName>
    <definedName name="_column_heijitsu_hourly_mode_counts_3">UI!$DG$37:$DG$60</definedName>
    <definedName name="_column_kyuujitsuGaishutsu_hourly_mode_0">UI!$CN$10:$CN$33</definedName>
    <definedName name="_column_kyuujitsuGaishutsu_hourly_mode_1">UI!$CU$10:$CU$33</definedName>
    <definedName name="_column_kyuujitsuGaishutsu_hourly_mode_2">UI!$DB$10:$DB$33</definedName>
    <definedName name="_column_kyuujitsuGaishutsu_hourly_mode_3">UI!$DI$10:$DI$33</definedName>
    <definedName name="_column_kyuujitsuGaishutsu_hourly_mode_counts_0">UI!$CN$37:$CN$60</definedName>
    <definedName name="_column_kyuujitsuGaishutsu_hourly_mode_counts_1">UI!$CU$37:$CU$60</definedName>
    <definedName name="_column_kyuujitsuGaishutsu_hourly_mode_counts_2">UI!$DB$37:$DB$60</definedName>
    <definedName name="_column_kyuujitsuGaishutsu_hourly_mode_counts_3">UI!$DI$37:$DI$60</definedName>
    <definedName name="_column_kyuujitsuZaitaku_hourly_mode_0">UI!$CM$10:$CM$33</definedName>
    <definedName name="_column_kyuujitsuZaitaku_hourly_mode_1">UI!$CT$10:$CT$33</definedName>
    <definedName name="_column_kyuujitsuZaitaku_hourly_mode_2">UI!$DA$10:$DA$33</definedName>
    <definedName name="_column_kyuujitsuZaitaku_hourly_mode_3">UI!$DH$10:$DH$33</definedName>
    <definedName name="_column_kyuujitsuZaitaku_hourly_mode_counts_0">UI!$CM$37:$CM$60</definedName>
    <definedName name="_column_kyuujitsuZaitaku_hourly_mode_counts_1">UI!$CT$37:$CT$60</definedName>
    <definedName name="_column_kyuujitsuZaitaku_hourly_mode_counts_2">UI!$DA$37:$DA$60</definedName>
    <definedName name="_column_kyuujitsuZaitaku_hourly_mode_counts_3">UI!$DH$37:$DH$60</definedName>
    <definedName name="_homeApplicance_ID">UI!$AE$9</definedName>
    <definedName name="_homeApplicance_Name">UI!$AE$15</definedName>
    <definedName name="_number_of_people">UI!$AE$10</definedName>
    <definedName name="_operationName_1">UI!$AE$21</definedName>
    <definedName name="_operationName_2">UI!$AE$22</definedName>
    <definedName name="_operationName_3">UI!$AE$23</definedName>
    <definedName name="_operationName_4">UI!$AE$24</definedName>
    <definedName name="_operationName_of_mode_0">UI!$AE$26</definedName>
    <definedName name="_operationName_of_mode_1">UI!$AE$27</definedName>
    <definedName name="_operationName_of_mode_2">UI!$AE$28</definedName>
    <definedName name="_operationName_of_mode_3">UI!$AE$29</definedName>
    <definedName name="_times_of_one_operation">UI!$AE$14</definedName>
    <definedName name="_type_of_Calc">UI!$AE$13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14" i="3" l="1"/>
  <c r="AE13" i="3"/>
  <c r="AE29" i="3"/>
  <c r="AE28" i="3"/>
  <c r="AE27" i="3"/>
  <c r="AE26" i="3"/>
  <c r="AE24" i="3"/>
  <c r="AE23" i="3"/>
  <c r="AE22" i="3"/>
  <c r="AE21" i="3"/>
  <c r="AE15" i="3" l="1"/>
  <c r="AE16" i="3"/>
  <c r="AE17" i="3"/>
  <c r="AE18" i="3"/>
  <c r="CD11" i="3"/>
  <c r="CD12" i="3" s="1"/>
  <c r="CD13" i="3" s="1"/>
  <c r="CD14" i="3" s="1"/>
  <c r="CD15" i="3" s="1"/>
  <c r="CD16" i="3" s="1"/>
  <c r="CD17" i="3" s="1"/>
  <c r="CD18" i="3" s="1"/>
  <c r="CD19" i="3" s="1"/>
  <c r="CD20" i="3" s="1"/>
  <c r="CD21" i="3" s="1"/>
  <c r="CD22" i="3" s="1"/>
  <c r="CD23" i="3" s="1"/>
  <c r="CD24" i="3" s="1"/>
  <c r="CD25" i="3" s="1"/>
  <c r="CD26" i="3" s="1"/>
  <c r="CD27" i="3" s="1"/>
  <c r="CD28" i="3" s="1"/>
  <c r="CD29" i="3" s="1"/>
  <c r="CD30" i="3" s="1"/>
  <c r="CD31" i="3" s="1"/>
  <c r="CD32" i="3" s="1"/>
  <c r="CD33" i="3" s="1"/>
  <c r="CD34" i="3" s="1"/>
  <c r="CD35" i="3" s="1"/>
  <c r="CD36" i="3" s="1"/>
  <c r="CD37" i="3" s="1"/>
  <c r="CD38" i="3" s="1"/>
  <c r="CD39" i="3" s="1"/>
  <c r="CD40" i="3" s="1"/>
  <c r="CD41" i="3" s="1"/>
  <c r="CD42" i="3" s="1"/>
  <c r="CD43" i="3" s="1"/>
  <c r="CD44" i="3" s="1"/>
  <c r="CD45" i="3" s="1"/>
  <c r="CD46" i="3" s="1"/>
  <c r="CD47" i="3" s="1"/>
  <c r="CD48" i="3" s="1"/>
  <c r="CD49" i="3" s="1"/>
  <c r="CD50" i="3" s="1"/>
  <c r="CD51" i="3" s="1"/>
  <c r="CD52" i="3" s="1"/>
  <c r="CD53" i="3" s="1"/>
  <c r="CD54" i="3" s="1"/>
  <c r="CD55" i="3" s="1"/>
  <c r="CD56" i="3" s="1"/>
  <c r="CD57" i="3" s="1"/>
  <c r="CD58" i="3" s="1"/>
  <c r="CD59" i="3" s="1"/>
  <c r="CD60" i="3" s="1"/>
  <c r="CD61" i="3" s="1"/>
  <c r="CD62" i="3" s="1"/>
  <c r="CD63" i="3" s="1"/>
  <c r="CD64" i="3" s="1"/>
  <c r="CD65" i="3" s="1"/>
  <c r="CD66" i="3" s="1"/>
  <c r="CD67" i="3" s="1"/>
  <c r="CD68" i="3" s="1"/>
  <c r="CD69" i="3" s="1"/>
  <c r="CD70" i="3" s="1"/>
  <c r="CD71" i="3" s="1"/>
  <c r="CD72" i="3" s="1"/>
  <c r="CD73" i="3" s="1"/>
  <c r="CD74" i="3" s="1"/>
  <c r="CD75" i="3" s="1"/>
  <c r="CD76" i="3" s="1"/>
  <c r="CD77" i="3" s="1"/>
  <c r="CD78" i="3" s="1"/>
  <c r="CD79" i="3" s="1"/>
  <c r="CD80" i="3" s="1"/>
  <c r="CD81" i="3" s="1"/>
  <c r="CD82" i="3" s="1"/>
  <c r="CD83" i="3" s="1"/>
  <c r="CD84" i="3" s="1"/>
  <c r="CD85" i="3" s="1"/>
  <c r="CD86" i="3" s="1"/>
  <c r="CD87" i="3" s="1"/>
  <c r="CD88" i="3" s="1"/>
  <c r="CD89" i="3" s="1"/>
  <c r="CD90" i="3" s="1"/>
  <c r="CD91" i="3" s="1"/>
  <c r="CD92" i="3" s="1"/>
  <c r="CD93" i="3" s="1"/>
  <c r="CD94" i="3" s="1"/>
  <c r="CD95" i="3" s="1"/>
  <c r="CD96" i="3" s="1"/>
  <c r="CD97" i="3" s="1"/>
  <c r="CD98" i="3" s="1"/>
  <c r="CD99" i="3" s="1"/>
  <c r="CD100" i="3" s="1"/>
  <c r="CD101" i="3" s="1"/>
  <c r="CD102" i="3" s="1"/>
  <c r="CD103" i="3" s="1"/>
  <c r="CD104" i="3" s="1"/>
  <c r="CD105" i="3" s="1"/>
  <c r="BW11" i="3"/>
  <c r="BW12" i="3" s="1"/>
  <c r="BW13" i="3" s="1"/>
  <c r="BW14" i="3" s="1"/>
  <c r="BW15" i="3" s="1"/>
  <c r="BW16" i="3" s="1"/>
  <c r="BW17" i="3" s="1"/>
  <c r="BW18" i="3" s="1"/>
  <c r="BW19" i="3" s="1"/>
  <c r="BW20" i="3" s="1"/>
  <c r="BW21" i="3" s="1"/>
  <c r="BW22" i="3" s="1"/>
  <c r="BW23" i="3" s="1"/>
  <c r="BW24" i="3" s="1"/>
  <c r="BW25" i="3" s="1"/>
  <c r="BW26" i="3" s="1"/>
  <c r="BW27" i="3" s="1"/>
  <c r="BW28" i="3" s="1"/>
  <c r="BW29" i="3" s="1"/>
  <c r="BW30" i="3" s="1"/>
  <c r="BW31" i="3" s="1"/>
  <c r="BW32" i="3" s="1"/>
  <c r="BW33" i="3" s="1"/>
  <c r="BW34" i="3" s="1"/>
  <c r="BW35" i="3" s="1"/>
  <c r="BW36" i="3" s="1"/>
  <c r="BW37" i="3" s="1"/>
  <c r="BW38" i="3" s="1"/>
  <c r="BW39" i="3" s="1"/>
  <c r="BW40" i="3" s="1"/>
  <c r="BW41" i="3" s="1"/>
  <c r="BW42" i="3" s="1"/>
  <c r="BW43" i="3" s="1"/>
  <c r="BW44" i="3" s="1"/>
  <c r="BW45" i="3" s="1"/>
  <c r="BW46" i="3" s="1"/>
  <c r="BW47" i="3" s="1"/>
  <c r="BW48" i="3" s="1"/>
  <c r="BW49" i="3" s="1"/>
  <c r="BW50" i="3" s="1"/>
  <c r="BW51" i="3" s="1"/>
  <c r="BW52" i="3" s="1"/>
  <c r="BW53" i="3" s="1"/>
  <c r="BW54" i="3" s="1"/>
  <c r="BW55" i="3" s="1"/>
  <c r="BW56" i="3" s="1"/>
  <c r="BW57" i="3" s="1"/>
  <c r="BW58" i="3" s="1"/>
  <c r="BW59" i="3" s="1"/>
  <c r="BW60" i="3" s="1"/>
  <c r="BW61" i="3" s="1"/>
  <c r="BW62" i="3" s="1"/>
  <c r="BW63" i="3" s="1"/>
  <c r="BW64" i="3" s="1"/>
  <c r="BW65" i="3" s="1"/>
  <c r="BW66" i="3" s="1"/>
  <c r="BW67" i="3" s="1"/>
  <c r="BW68" i="3" s="1"/>
  <c r="BW69" i="3" s="1"/>
  <c r="BW70" i="3" s="1"/>
  <c r="BW71" i="3" s="1"/>
  <c r="BW72" i="3" s="1"/>
  <c r="BW73" i="3" s="1"/>
  <c r="BW74" i="3" s="1"/>
  <c r="BW75" i="3" s="1"/>
  <c r="BW76" i="3" s="1"/>
  <c r="BW77" i="3" s="1"/>
  <c r="BW78" i="3" s="1"/>
  <c r="BW79" i="3" s="1"/>
  <c r="BW80" i="3" s="1"/>
  <c r="BW81" i="3" s="1"/>
  <c r="BW82" i="3" s="1"/>
  <c r="BW83" i="3" s="1"/>
  <c r="BW84" i="3" s="1"/>
  <c r="BW85" i="3" s="1"/>
  <c r="BW86" i="3" s="1"/>
  <c r="BW87" i="3" s="1"/>
  <c r="BW88" i="3" s="1"/>
  <c r="BW89" i="3" s="1"/>
  <c r="BW90" i="3" s="1"/>
  <c r="BW91" i="3" s="1"/>
  <c r="BW92" i="3" s="1"/>
  <c r="BW93" i="3" s="1"/>
  <c r="BW94" i="3" s="1"/>
  <c r="BW95" i="3" s="1"/>
  <c r="BW96" i="3" s="1"/>
  <c r="BW97" i="3" s="1"/>
  <c r="BW98" i="3" s="1"/>
  <c r="BW99" i="3" s="1"/>
  <c r="BW100" i="3" s="1"/>
  <c r="BW101" i="3" s="1"/>
  <c r="BW102" i="3" s="1"/>
  <c r="BW103" i="3" s="1"/>
  <c r="BW104" i="3" s="1"/>
  <c r="BW105" i="3" s="1"/>
  <c r="BP11" i="3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P23" i="3" s="1"/>
  <c r="BP24" i="3" s="1"/>
  <c r="BP25" i="3" s="1"/>
  <c r="BP26" i="3" s="1"/>
  <c r="BP27" i="3" s="1"/>
  <c r="BP28" i="3" s="1"/>
  <c r="BP29" i="3" s="1"/>
  <c r="BP30" i="3" s="1"/>
  <c r="BP31" i="3" s="1"/>
  <c r="BP32" i="3" s="1"/>
  <c r="BP33" i="3" s="1"/>
  <c r="BP34" i="3" s="1"/>
  <c r="BP35" i="3" s="1"/>
  <c r="BP36" i="3" s="1"/>
  <c r="BP37" i="3" s="1"/>
  <c r="BP38" i="3" s="1"/>
  <c r="BP39" i="3" s="1"/>
  <c r="BP40" i="3" s="1"/>
  <c r="BP41" i="3" s="1"/>
  <c r="BP42" i="3" s="1"/>
  <c r="BP43" i="3" s="1"/>
  <c r="BP44" i="3" s="1"/>
  <c r="BP45" i="3" s="1"/>
  <c r="BP46" i="3" s="1"/>
  <c r="BP47" i="3" s="1"/>
  <c r="BP48" i="3" s="1"/>
  <c r="BP49" i="3" s="1"/>
  <c r="BP50" i="3" s="1"/>
  <c r="BP51" i="3" s="1"/>
  <c r="BP52" i="3" s="1"/>
  <c r="BP53" i="3" s="1"/>
  <c r="BP54" i="3" s="1"/>
  <c r="BP55" i="3" s="1"/>
  <c r="BP56" i="3" s="1"/>
  <c r="BP57" i="3" s="1"/>
  <c r="BP58" i="3" s="1"/>
  <c r="BP59" i="3" s="1"/>
  <c r="BP60" i="3" s="1"/>
  <c r="BP61" i="3" s="1"/>
  <c r="BP62" i="3" s="1"/>
  <c r="BP63" i="3" s="1"/>
  <c r="BP64" i="3" s="1"/>
  <c r="BP65" i="3" s="1"/>
  <c r="BP66" i="3" s="1"/>
  <c r="BP67" i="3" s="1"/>
  <c r="BP68" i="3" s="1"/>
  <c r="BP69" i="3" s="1"/>
  <c r="BP70" i="3" s="1"/>
  <c r="BP71" i="3" s="1"/>
  <c r="BP72" i="3" s="1"/>
  <c r="BP73" i="3" s="1"/>
  <c r="BP74" i="3" s="1"/>
  <c r="BP75" i="3" s="1"/>
  <c r="BP76" i="3" s="1"/>
  <c r="BP77" i="3" s="1"/>
  <c r="BP78" i="3" s="1"/>
  <c r="BP79" i="3" s="1"/>
  <c r="BP80" i="3" s="1"/>
  <c r="BP81" i="3" s="1"/>
  <c r="BP82" i="3" s="1"/>
  <c r="BP83" i="3" s="1"/>
  <c r="BP84" i="3" s="1"/>
  <c r="BP85" i="3" s="1"/>
  <c r="BP86" i="3" s="1"/>
  <c r="BP87" i="3" s="1"/>
  <c r="BP88" i="3" s="1"/>
  <c r="BP89" i="3" s="1"/>
  <c r="BP90" i="3" s="1"/>
  <c r="BP91" i="3" s="1"/>
  <c r="BP92" i="3" s="1"/>
  <c r="BP93" i="3" s="1"/>
  <c r="BP94" i="3" s="1"/>
  <c r="BP95" i="3" s="1"/>
  <c r="BP96" i="3" s="1"/>
  <c r="BP97" i="3" s="1"/>
  <c r="BP98" i="3" s="1"/>
  <c r="BP99" i="3" s="1"/>
  <c r="BP100" i="3" s="1"/>
  <c r="BP101" i="3" s="1"/>
  <c r="BP102" i="3" s="1"/>
  <c r="BP103" i="3" s="1"/>
  <c r="BP104" i="3" s="1"/>
  <c r="BP105" i="3" s="1"/>
  <c r="BI11" i="3"/>
  <c r="BI12" i="3" s="1"/>
  <c r="BI13" i="3" s="1"/>
  <c r="BI14" i="3" s="1"/>
  <c r="BI15" i="3" s="1"/>
  <c r="BI16" i="3" s="1"/>
  <c r="BI17" i="3" s="1"/>
  <c r="BI18" i="3" s="1"/>
  <c r="BI19" i="3" s="1"/>
  <c r="BI20" i="3" s="1"/>
  <c r="BI21" i="3" s="1"/>
  <c r="BI22" i="3" s="1"/>
  <c r="BI23" i="3" s="1"/>
  <c r="BI24" i="3" s="1"/>
  <c r="BI25" i="3" s="1"/>
  <c r="BI26" i="3" s="1"/>
  <c r="BI27" i="3" s="1"/>
  <c r="BI28" i="3" s="1"/>
  <c r="BI29" i="3" s="1"/>
  <c r="BI30" i="3" s="1"/>
  <c r="BI31" i="3" s="1"/>
  <c r="BI32" i="3" s="1"/>
  <c r="BI33" i="3" s="1"/>
  <c r="BI34" i="3" s="1"/>
  <c r="BI35" i="3" s="1"/>
  <c r="BI36" i="3" s="1"/>
  <c r="BI37" i="3" s="1"/>
  <c r="BI38" i="3" s="1"/>
  <c r="BI39" i="3" s="1"/>
  <c r="BI40" i="3" s="1"/>
  <c r="BI41" i="3" s="1"/>
  <c r="BI42" i="3" s="1"/>
  <c r="BI43" i="3" s="1"/>
  <c r="BI44" i="3" s="1"/>
  <c r="BI45" i="3" s="1"/>
  <c r="BI46" i="3" s="1"/>
  <c r="BI47" i="3" s="1"/>
  <c r="BI48" i="3" s="1"/>
  <c r="BI49" i="3" s="1"/>
  <c r="BI50" i="3" s="1"/>
  <c r="BI51" i="3" s="1"/>
  <c r="BI52" i="3" s="1"/>
  <c r="BI53" i="3" s="1"/>
  <c r="BI54" i="3" s="1"/>
  <c r="BI55" i="3" s="1"/>
  <c r="BI56" i="3" s="1"/>
  <c r="BI57" i="3" s="1"/>
  <c r="BI58" i="3" s="1"/>
  <c r="BI59" i="3" s="1"/>
  <c r="BI60" i="3" s="1"/>
  <c r="BI61" i="3" s="1"/>
  <c r="BI62" i="3" s="1"/>
  <c r="BI63" i="3" s="1"/>
  <c r="BI64" i="3" s="1"/>
  <c r="BI65" i="3" s="1"/>
  <c r="BI66" i="3" s="1"/>
  <c r="BI67" i="3" s="1"/>
  <c r="BI68" i="3" s="1"/>
  <c r="BI69" i="3" s="1"/>
  <c r="BI70" i="3" s="1"/>
  <c r="BI71" i="3" s="1"/>
  <c r="BI72" i="3" s="1"/>
  <c r="BI73" i="3" s="1"/>
  <c r="BI74" i="3" s="1"/>
  <c r="BI75" i="3" s="1"/>
  <c r="BI76" i="3" s="1"/>
  <c r="BI77" i="3" s="1"/>
  <c r="BI78" i="3" s="1"/>
  <c r="BI79" i="3" s="1"/>
  <c r="BI80" i="3" s="1"/>
  <c r="BI81" i="3" s="1"/>
  <c r="BI82" i="3" s="1"/>
  <c r="BI83" i="3" s="1"/>
  <c r="BI84" i="3" s="1"/>
  <c r="BI85" i="3" s="1"/>
  <c r="BI86" i="3" s="1"/>
  <c r="BI87" i="3" s="1"/>
  <c r="BI88" i="3" s="1"/>
  <c r="BI89" i="3" s="1"/>
  <c r="BI90" i="3" s="1"/>
  <c r="BI91" i="3" s="1"/>
  <c r="BI92" i="3" s="1"/>
  <c r="BI93" i="3" s="1"/>
  <c r="BI94" i="3" s="1"/>
  <c r="BI95" i="3" s="1"/>
  <c r="BI96" i="3" s="1"/>
  <c r="BI97" i="3" s="1"/>
  <c r="BI98" i="3" s="1"/>
  <c r="BI99" i="3" s="1"/>
  <c r="BI100" i="3" s="1"/>
  <c r="BI101" i="3" s="1"/>
  <c r="BI102" i="3" s="1"/>
  <c r="BI103" i="3" s="1"/>
  <c r="BI104" i="3" s="1"/>
  <c r="BI105" i="3" s="1"/>
  <c r="BA11" i="3"/>
  <c r="BA12" i="3" s="1"/>
  <c r="BA13" i="3" s="1"/>
  <c r="BA14" i="3" s="1"/>
  <c r="BA15" i="3" s="1"/>
  <c r="BA16" i="3" s="1"/>
  <c r="BA17" i="3" s="1"/>
  <c r="BA18" i="3" s="1"/>
  <c r="BA19" i="3" s="1"/>
  <c r="BA20" i="3" s="1"/>
  <c r="BA21" i="3" s="1"/>
  <c r="BA22" i="3" s="1"/>
  <c r="BA23" i="3" s="1"/>
  <c r="BA24" i="3" s="1"/>
  <c r="BA25" i="3" s="1"/>
  <c r="BA26" i="3" s="1"/>
  <c r="BA27" i="3" s="1"/>
  <c r="BA28" i="3" s="1"/>
  <c r="BA29" i="3" s="1"/>
  <c r="BA30" i="3" s="1"/>
  <c r="BA31" i="3" s="1"/>
  <c r="BA32" i="3" s="1"/>
  <c r="BA33" i="3" s="1"/>
  <c r="BA34" i="3" s="1"/>
  <c r="BA35" i="3" s="1"/>
  <c r="BA36" i="3" s="1"/>
  <c r="BA37" i="3" s="1"/>
  <c r="BA38" i="3" s="1"/>
  <c r="BA39" i="3" s="1"/>
  <c r="BA40" i="3" s="1"/>
  <c r="BA41" i="3" s="1"/>
  <c r="BA42" i="3" s="1"/>
  <c r="BA43" i="3" s="1"/>
  <c r="BA44" i="3" s="1"/>
  <c r="BA45" i="3" s="1"/>
  <c r="BA46" i="3" s="1"/>
  <c r="BA47" i="3" s="1"/>
  <c r="BA48" i="3" s="1"/>
  <c r="BA49" i="3" s="1"/>
  <c r="BA50" i="3" s="1"/>
  <c r="BA51" i="3" s="1"/>
  <c r="BA52" i="3" s="1"/>
  <c r="BA53" i="3" s="1"/>
  <c r="BA54" i="3" s="1"/>
  <c r="BA55" i="3" s="1"/>
  <c r="BA56" i="3" s="1"/>
  <c r="BA57" i="3" s="1"/>
  <c r="BA58" i="3" s="1"/>
  <c r="BA59" i="3" s="1"/>
  <c r="BA60" i="3" s="1"/>
  <c r="BA61" i="3" s="1"/>
  <c r="BA62" i="3" s="1"/>
  <c r="BA63" i="3" s="1"/>
  <c r="BA64" i="3" s="1"/>
  <c r="BA65" i="3" s="1"/>
  <c r="BA66" i="3" s="1"/>
  <c r="BA67" i="3" s="1"/>
  <c r="BA68" i="3" s="1"/>
  <c r="BA69" i="3" s="1"/>
  <c r="BA70" i="3" s="1"/>
  <c r="BA71" i="3" s="1"/>
  <c r="BA72" i="3" s="1"/>
  <c r="BA73" i="3" s="1"/>
  <c r="BA74" i="3" s="1"/>
  <c r="BA75" i="3" s="1"/>
  <c r="BA76" i="3" s="1"/>
  <c r="BA77" i="3" s="1"/>
  <c r="BA78" i="3" s="1"/>
  <c r="BA79" i="3" s="1"/>
  <c r="BA80" i="3" s="1"/>
  <c r="BA81" i="3" s="1"/>
  <c r="BA82" i="3" s="1"/>
  <c r="BA83" i="3" s="1"/>
  <c r="BA84" i="3" s="1"/>
  <c r="BA85" i="3" s="1"/>
  <c r="BA86" i="3" s="1"/>
  <c r="BA87" i="3" s="1"/>
  <c r="BA88" i="3" s="1"/>
  <c r="BA89" i="3" s="1"/>
  <c r="BA90" i="3" s="1"/>
  <c r="BA91" i="3" s="1"/>
  <c r="BA92" i="3" s="1"/>
  <c r="BA93" i="3" s="1"/>
  <c r="BA94" i="3" s="1"/>
  <c r="BA95" i="3" s="1"/>
  <c r="BA96" i="3" s="1"/>
  <c r="BA97" i="3" s="1"/>
  <c r="BA98" i="3" s="1"/>
  <c r="BA99" i="3" s="1"/>
  <c r="BA100" i="3" s="1"/>
  <c r="BA101" i="3" s="1"/>
  <c r="BA102" i="3" s="1"/>
  <c r="BA103" i="3" s="1"/>
  <c r="BA104" i="3" s="1"/>
  <c r="BA105" i="3" s="1"/>
  <c r="BB51" i="3" a="1"/>
  <c r="BC83" i="3" a="1"/>
  <c r="BC12" i="3" a="1"/>
  <c r="BD57" i="3" a="1"/>
  <c r="BC50" i="3" a="1"/>
  <c r="BC30" i="3" a="1"/>
  <c r="BD25" i="3" a="1"/>
  <c r="BB99" i="3" a="1"/>
  <c r="BB33" i="3" a="1"/>
  <c r="BC47" i="3" a="1"/>
  <c r="BB56" i="3" a="1"/>
  <c r="BD66" i="3" a="1"/>
  <c r="BC69" i="3" a="1"/>
  <c r="BD100" i="3" a="1"/>
  <c r="BC90" i="3" a="1"/>
  <c r="BD29" i="3" a="1"/>
  <c r="BB25" i="3" a="1"/>
  <c r="BC84" i="3" a="1"/>
  <c r="BC63" i="3" a="1"/>
  <c r="BD15" i="3" a="1"/>
  <c r="BC79" i="3" a="1"/>
  <c r="BD103" i="3" a="1"/>
  <c r="BC24" i="3" a="1"/>
  <c r="BD70" i="3" a="1"/>
  <c r="BB77" i="3" a="1"/>
  <c r="BC51" i="3" a="1"/>
  <c r="BC65" i="3" a="1"/>
  <c r="BC76" i="3" a="1"/>
  <c r="BD41" i="3" a="1"/>
  <c r="BB24" i="3" a="1"/>
  <c r="BC66" i="3" a="1"/>
  <c r="BB69" i="3" a="1"/>
  <c r="BB55" i="3" a="1"/>
  <c r="BC18" i="3" a="1"/>
  <c r="BD102" i="3" a="1"/>
  <c r="BC80" i="3" a="1"/>
  <c r="BC37" i="3" a="1"/>
  <c r="BC57" i="3" a="1"/>
  <c r="BC88" i="3" a="1"/>
  <c r="BB87" i="3" a="1"/>
  <c r="BC70" i="3" a="1"/>
  <c r="BB76" i="3" a="1"/>
  <c r="BC13" i="3" a="1"/>
  <c r="BC27" i="3" a="1"/>
  <c r="BD42" i="3" a="1"/>
  <c r="BC81" i="3" a="1"/>
  <c r="BB100" i="3" a="1"/>
  <c r="BC20" i="3" a="1"/>
  <c r="BC104" i="3" a="1"/>
  <c r="BC44" i="3" a="1"/>
  <c r="BB95" i="3" a="1"/>
  <c r="BC101" i="3" a="1"/>
  <c r="BC34" i="3" a="1"/>
  <c r="BB64" i="3" a="1"/>
  <c r="BB90" i="3" a="1"/>
  <c r="BD86" i="3" a="1"/>
  <c r="BC61" i="3" a="1"/>
  <c r="BD35" i="3" a="1"/>
  <c r="BD49" i="3" a="1"/>
  <c r="BD37" i="3" a="1"/>
  <c r="BC56" i="3" a="1"/>
  <c r="BB48" i="3" a="1"/>
  <c r="BB86" i="3" a="1"/>
  <c r="BD51" i="3" a="1"/>
  <c r="BD55" i="3" a="1"/>
  <c r="BB47" i="3" a="1"/>
  <c r="BC55" i="3" a="1"/>
  <c r="BD34" i="3" a="1"/>
  <c r="BC103" i="3" a="1"/>
  <c r="BB63" i="3" a="1"/>
  <c r="BC67" i="3" a="1"/>
  <c r="BB46" i="3" a="1"/>
  <c r="BB36" i="3" a="1"/>
  <c r="BD79" i="3" a="1"/>
  <c r="BB26" i="3" a="1"/>
  <c r="BB23" i="3" a="1"/>
  <c r="BD91" i="3" a="1"/>
  <c r="BD16" i="3" a="1"/>
  <c r="BC46" i="3" a="1"/>
  <c r="BD26" i="3" a="1"/>
  <c r="BB53" i="3" a="1"/>
  <c r="BB35" i="3" a="1"/>
  <c r="BD31" i="3" a="1"/>
  <c r="BC94" i="3" a="1"/>
  <c r="BC71" i="3" a="1"/>
  <c r="BB89" i="3" a="1"/>
  <c r="BC89" i="3" a="1"/>
  <c r="BB81" i="3" a="1"/>
  <c r="BB59" i="3" a="1"/>
  <c r="BC68" i="3" a="1"/>
  <c r="BC91" i="3" a="1"/>
  <c r="BC39" i="3" a="1"/>
  <c r="BD97" i="3" a="1"/>
  <c r="BB102" i="3" a="1"/>
  <c r="BD80" i="3" a="1"/>
  <c r="BD98" i="3" a="1"/>
  <c r="BC96" i="3" a="1"/>
  <c r="BD72" i="3" a="1"/>
  <c r="BC40" i="3" a="1"/>
  <c r="BC16" i="3" a="1"/>
  <c r="BB70" i="3" a="1"/>
  <c r="BB16" i="3" a="1"/>
  <c r="BC14" i="3" a="1"/>
  <c r="BB60" i="3" a="1"/>
  <c r="BD82" i="3" a="1"/>
  <c r="BD11" i="3" a="1"/>
  <c r="BD87" i="3" a="1"/>
  <c r="BB19" i="3" a="1"/>
  <c r="BC31" i="3" a="1"/>
  <c r="BC26" i="3" a="1"/>
  <c r="BB40" i="3" a="1"/>
  <c r="BB82" i="3" a="1"/>
  <c r="BD78" i="3" a="1"/>
  <c r="BD18" i="3" a="1"/>
  <c r="BB91" i="3" a="1"/>
  <c r="BB43" i="3" a="1"/>
  <c r="BD67" i="3" a="1"/>
  <c r="BD27" i="3" a="1"/>
  <c r="BB20" i="3" a="1"/>
  <c r="BC95" i="3" a="1"/>
  <c r="BD60" i="3" a="1"/>
  <c r="BD83" i="3" a="1"/>
  <c r="BD12" i="3" a="1"/>
  <c r="BD99" i="3" a="1"/>
  <c r="BB38" i="3" a="1"/>
  <c r="BC93" i="3" a="1"/>
  <c r="BD94" i="3" a="1"/>
  <c r="BB28" i="3" a="1"/>
  <c r="BD50" i="3" a="1"/>
  <c r="BC62" i="3" a="1"/>
  <c r="BB97" i="3" a="1"/>
  <c r="BB44" i="3" a="1"/>
  <c r="BD38" i="3" a="1"/>
  <c r="BD65" i="3" a="1"/>
  <c r="BD105" i="3" a="1"/>
  <c r="BB50" i="3" a="1"/>
  <c r="BD46" i="3" a="1"/>
  <c r="BB101" i="3" a="1"/>
  <c r="BC45" i="3" a="1"/>
  <c r="BB29" i="3" a="1"/>
  <c r="BC58" i="3" a="1"/>
  <c r="BC11" i="3" a="1"/>
  <c r="BD28" i="3" a="1"/>
  <c r="BC54" i="3" a="1"/>
  <c r="BB103" i="3" a="1"/>
  <c r="BC87" i="3" a="1"/>
  <c r="BB13" i="3" a="1"/>
  <c r="BD21" i="3" a="1"/>
  <c r="BC77" i="3" a="1"/>
  <c r="BD104" i="3" a="1"/>
  <c r="BD13" i="3" a="1"/>
  <c r="BD73" i="3" a="1"/>
  <c r="BB39" i="3" a="1"/>
  <c r="BD92" i="3" a="1"/>
  <c r="BC52" i="3" a="1"/>
  <c r="BB79" i="3" a="1"/>
  <c r="BD89" i="3" a="1"/>
  <c r="BB18" i="3" a="1"/>
  <c r="BC102" i="3" a="1"/>
  <c r="BB42" i="3" a="1"/>
  <c r="BB68" i="3" a="1"/>
  <c r="BC92" i="3" a="1"/>
  <c r="BD32" i="3" a="1"/>
  <c r="BB17" i="3" a="1"/>
  <c r="BD81" i="3" a="1"/>
  <c r="BD54" i="3" a="1"/>
  <c r="BD90" i="3" a="1"/>
  <c r="BD53" i="3" a="1"/>
  <c r="BB54" i="3" a="1"/>
  <c r="BC78" i="3" a="1"/>
  <c r="BB12" i="3" a="1"/>
  <c r="BD93" i="3" a="1"/>
  <c r="BD36" i="3" a="1"/>
  <c r="BD44" i="3" a="1"/>
  <c r="BD61" i="3" a="1"/>
  <c r="BB45" i="3" a="1"/>
  <c r="BB65" i="3" a="1"/>
  <c r="BC85" i="3" a="1"/>
  <c r="BD17" i="3" a="1"/>
  <c r="BD20" i="3" a="1"/>
  <c r="BD96" i="3" a="1"/>
  <c r="BD48" i="3" a="1"/>
  <c r="BB75" i="3" a="1"/>
  <c r="BC19" i="3" a="1"/>
  <c r="BB37" i="3" a="1"/>
  <c r="BD45" i="3" a="1"/>
  <c r="BD24" i="3" a="1"/>
  <c r="BC43" i="3" a="1"/>
  <c r="BD19" i="3" a="1"/>
  <c r="BB71" i="3" a="1"/>
  <c r="BC59" i="3" a="1"/>
  <c r="BB34" i="3" a="1"/>
  <c r="BB14" i="3" a="1"/>
  <c r="BC105" i="3" a="1"/>
  <c r="BC74" i="3" a="1"/>
  <c r="BB105" i="3" a="1"/>
  <c r="BB73" i="3" a="1"/>
  <c r="BC23" i="3" a="1"/>
  <c r="BC97" i="3" a="1"/>
  <c r="BC48" i="3" a="1"/>
  <c r="BD85" i="3" a="1"/>
  <c r="BD59" i="3" a="1"/>
  <c r="BC64" i="3" a="1"/>
  <c r="BB72" i="3" a="1"/>
  <c r="BB94" i="3" a="1"/>
  <c r="BC98" i="3" a="1"/>
  <c r="BB78" i="3" a="1"/>
  <c r="BB41" i="3" a="1"/>
  <c r="BC35" i="3" a="1"/>
  <c r="BC33" i="3" a="1"/>
  <c r="BC60" i="3" a="1"/>
  <c r="BC99" i="3" a="1"/>
  <c r="BD47" i="3" a="1"/>
  <c r="BD33" i="3" a="1"/>
  <c r="BB58" i="3" a="1"/>
  <c r="BD88" i="3" a="1"/>
  <c r="BB49" i="3" a="1"/>
  <c r="BD69" i="3" a="1"/>
  <c r="BC42" i="3" a="1"/>
  <c r="BB80" i="3" a="1"/>
  <c r="BB98" i="3" a="1"/>
  <c r="BC100" i="3" a="1"/>
  <c r="BC29" i="3" a="1"/>
  <c r="BB61" i="3" a="1"/>
  <c r="BD84" i="3" a="1"/>
  <c r="BD56" i="3" a="1"/>
  <c r="BC32" i="3" a="1"/>
  <c r="BC15" i="3" a="1"/>
  <c r="BB62" i="3" a="1"/>
  <c r="BB96" i="3" a="1"/>
  <c r="BB32" i="3" a="1"/>
  <c r="BB84" i="3" a="1"/>
  <c r="BD43" i="3" a="1"/>
  <c r="BD64" i="3" a="1"/>
  <c r="BC28" i="3" a="1"/>
  <c r="BD30" i="3" a="1"/>
  <c r="BB92" i="3" a="1"/>
  <c r="BC36" i="3" a="1"/>
  <c r="BD40" i="3" a="1"/>
  <c r="BB83" i="3" a="1"/>
  <c r="BD14" i="3" a="1"/>
  <c r="BC17" i="3" a="1"/>
  <c r="BB66" i="3" a="1"/>
  <c r="BD62" i="3" a="1"/>
  <c r="BD68" i="3" a="1"/>
  <c r="BB74" i="3" a="1"/>
  <c r="BD52" i="3" a="1"/>
  <c r="BD39" i="3" a="1"/>
  <c r="BD77" i="3" a="1"/>
  <c r="BD95" i="3" a="1"/>
  <c r="BB30" i="3" a="1"/>
  <c r="BD101" i="3" a="1"/>
  <c r="BC10" i="3" a="1"/>
  <c r="BB52" i="3" a="1"/>
  <c r="BD74" i="3" a="1"/>
  <c r="BD63" i="3" a="1"/>
  <c r="BD71" i="3" a="1"/>
  <c r="BC21" i="3" a="1"/>
  <c r="BC25" i="3" a="1"/>
  <c r="BC72" i="3" a="1"/>
  <c r="BB88" i="3" a="1"/>
  <c r="BD75" i="3" a="1"/>
  <c r="BC38" i="3" a="1"/>
  <c r="BB104" i="3" a="1"/>
  <c r="BB21" i="3" a="1"/>
  <c r="BD58" i="3" a="1"/>
  <c r="BD23" i="3" a="1"/>
  <c r="BB93" i="3" a="1"/>
  <c r="BD22" i="3" a="1"/>
  <c r="BC86" i="3" a="1"/>
  <c r="BB22" i="3" a="1"/>
  <c r="BC73" i="3" a="1"/>
  <c r="BD76" i="3" a="1"/>
  <c r="BB10" i="3" a="1"/>
  <c r="BC41" i="3" a="1"/>
  <c r="BC75" i="3" a="1"/>
  <c r="BC82" i="3" a="1"/>
  <c r="BC22" i="3" a="1"/>
  <c r="BB31" i="3" a="1"/>
  <c r="BB67" i="3" a="1"/>
  <c r="BC53" i="3" a="1"/>
  <c r="BB57" i="3" a="1"/>
  <c r="BB27" i="3" a="1"/>
  <c r="BC49" i="3" a="1"/>
  <c r="BB85" i="3" a="1"/>
  <c r="BB15" i="3" a="1"/>
  <c r="BD10" i="3" a="1"/>
  <c r="BB11" i="3" a="1"/>
  <c r="BC17" i="3" l="1"/>
  <c r="BC16" i="3"/>
  <c r="BC15" i="3"/>
  <c r="BC14" i="3"/>
  <c r="BC13" i="3"/>
  <c r="BC12" i="3"/>
  <c r="BC11" i="3"/>
  <c r="BC10" i="3"/>
  <c r="BD23" i="3"/>
  <c r="BD29" i="3"/>
  <c r="BD35" i="3"/>
  <c r="BD41" i="3"/>
  <c r="BD47" i="3"/>
  <c r="BD55" i="3"/>
  <c r="BD61" i="3"/>
  <c r="BD65" i="3"/>
  <c r="BD71" i="3"/>
  <c r="BD73" i="3"/>
  <c r="BD77" i="3"/>
  <c r="BD81" i="3"/>
  <c r="BD87" i="3"/>
  <c r="BC98" i="3"/>
  <c r="BD12" i="3"/>
  <c r="BD14" i="3"/>
  <c r="BD16" i="3"/>
  <c r="BD17" i="3"/>
  <c r="BD18" i="3"/>
  <c r="BD19" i="3"/>
  <c r="BD20" i="3"/>
  <c r="BC22" i="3"/>
  <c r="BC24" i="3"/>
  <c r="BC26" i="3"/>
  <c r="BC28" i="3"/>
  <c r="BC30" i="3"/>
  <c r="BC32" i="3"/>
  <c r="BC34" i="3"/>
  <c r="BC36" i="3"/>
  <c r="BC38" i="3"/>
  <c r="BC40" i="3"/>
  <c r="BC42" i="3"/>
  <c r="BC44" i="3"/>
  <c r="BC46" i="3"/>
  <c r="BC48" i="3"/>
  <c r="BC50" i="3"/>
  <c r="BC52" i="3"/>
  <c r="BC54" i="3"/>
  <c r="BC56" i="3"/>
  <c r="BC58" i="3"/>
  <c r="BC60" i="3"/>
  <c r="BC62" i="3"/>
  <c r="BC64" i="3"/>
  <c r="BC66" i="3"/>
  <c r="BC68" i="3"/>
  <c r="BC70" i="3"/>
  <c r="BC72" i="3"/>
  <c r="BC74" i="3"/>
  <c r="BC76" i="3"/>
  <c r="BC78" i="3"/>
  <c r="BC80" i="3"/>
  <c r="BC82" i="3"/>
  <c r="BC84" i="3"/>
  <c r="BC86" i="3"/>
  <c r="BC88" i="3"/>
  <c r="BC91" i="3"/>
  <c r="BC95" i="3"/>
  <c r="BC99" i="3"/>
  <c r="BC103" i="3"/>
  <c r="BD25" i="3"/>
  <c r="BD31" i="3"/>
  <c r="BD39" i="3"/>
  <c r="BD45" i="3"/>
  <c r="BD51" i="3"/>
  <c r="BD57" i="3"/>
  <c r="BD63" i="3"/>
  <c r="BD69" i="3"/>
  <c r="BD75" i="3"/>
  <c r="BD79" i="3"/>
  <c r="BD83" i="3"/>
  <c r="BC90" i="3"/>
  <c r="BC94" i="3"/>
  <c r="BC102" i="3"/>
  <c r="BD11" i="3"/>
  <c r="BD13" i="3"/>
  <c r="BD15" i="3"/>
  <c r="BD22" i="3"/>
  <c r="BD24" i="3"/>
  <c r="BD26" i="3"/>
  <c r="BD28" i="3"/>
  <c r="BD30" i="3"/>
  <c r="BD32" i="3"/>
  <c r="BD34" i="3"/>
  <c r="BD36" i="3"/>
  <c r="BD38" i="3"/>
  <c r="BD40" i="3"/>
  <c r="BD42" i="3"/>
  <c r="BD44" i="3"/>
  <c r="BD46" i="3"/>
  <c r="BD48" i="3"/>
  <c r="BD50" i="3"/>
  <c r="BD52" i="3"/>
  <c r="BD54" i="3"/>
  <c r="BD56" i="3"/>
  <c r="BD58" i="3"/>
  <c r="BD60" i="3"/>
  <c r="BD62" i="3"/>
  <c r="BD64" i="3"/>
  <c r="BD66" i="3"/>
  <c r="BD68" i="3"/>
  <c r="BD70" i="3"/>
  <c r="BD72" i="3"/>
  <c r="BD74" i="3"/>
  <c r="BD76" i="3"/>
  <c r="BD78" i="3"/>
  <c r="BD80" i="3"/>
  <c r="BD82" i="3"/>
  <c r="BD84" i="3"/>
  <c r="BD86" i="3"/>
  <c r="BD88" i="3"/>
  <c r="BC92" i="3"/>
  <c r="BC96" i="3"/>
  <c r="BC100" i="3"/>
  <c r="BC104" i="3"/>
  <c r="BD21" i="3"/>
  <c r="BD27" i="3"/>
  <c r="BD33" i="3"/>
  <c r="BD37" i="3"/>
  <c r="BD43" i="3"/>
  <c r="BD49" i="3"/>
  <c r="BD53" i="3"/>
  <c r="BD59" i="3"/>
  <c r="BD67" i="3"/>
  <c r="BD85" i="3"/>
  <c r="BC18" i="3"/>
  <c r="BC19" i="3"/>
  <c r="BC20" i="3"/>
  <c r="BC21" i="3"/>
  <c r="BC23" i="3"/>
  <c r="BC25" i="3"/>
  <c r="BC27" i="3"/>
  <c r="BC29" i="3"/>
  <c r="BC31" i="3"/>
  <c r="BC33" i="3"/>
  <c r="BC35" i="3"/>
  <c r="BC37" i="3"/>
  <c r="BC39" i="3"/>
  <c r="BC41" i="3"/>
  <c r="BC43" i="3"/>
  <c r="BC45" i="3"/>
  <c r="BC47" i="3"/>
  <c r="BC49" i="3"/>
  <c r="BC51" i="3"/>
  <c r="BC53" i="3"/>
  <c r="BC55" i="3"/>
  <c r="BC57" i="3"/>
  <c r="BC59" i="3"/>
  <c r="BC61" i="3"/>
  <c r="BC63" i="3"/>
  <c r="BC65" i="3"/>
  <c r="BC67" i="3"/>
  <c r="BC69" i="3"/>
  <c r="BC71" i="3"/>
  <c r="BC73" i="3"/>
  <c r="BC75" i="3"/>
  <c r="BC77" i="3"/>
  <c r="BC79" i="3"/>
  <c r="BC81" i="3"/>
  <c r="BC83" i="3"/>
  <c r="BC85" i="3"/>
  <c r="BC87" i="3"/>
  <c r="BC89" i="3"/>
  <c r="BC93" i="3"/>
  <c r="BC97" i="3"/>
  <c r="BC101" i="3"/>
  <c r="BC105" i="3"/>
  <c r="BD89" i="3"/>
  <c r="BD90" i="3"/>
  <c r="BD91" i="3"/>
  <c r="BD92" i="3"/>
  <c r="BD93" i="3"/>
  <c r="BD94" i="3"/>
  <c r="BD95" i="3"/>
  <c r="BD96" i="3"/>
  <c r="BD97" i="3"/>
  <c r="BD98" i="3"/>
  <c r="BD99" i="3"/>
  <c r="BD100" i="3"/>
  <c r="BD101" i="3"/>
  <c r="BD102" i="3"/>
  <c r="BD103" i="3"/>
  <c r="BD104" i="3"/>
  <c r="BD105" i="3"/>
  <c r="BD10" i="3"/>
  <c r="BB13" i="3"/>
  <c r="BB17" i="3"/>
  <c r="BB23" i="3"/>
  <c r="BB12" i="3"/>
  <c r="BB14" i="3"/>
  <c r="BB16" i="3"/>
  <c r="BB18" i="3"/>
  <c r="BB20" i="3"/>
  <c r="BB22" i="3"/>
  <c r="BB24" i="3"/>
  <c r="BB26" i="3"/>
  <c r="BB28" i="3"/>
  <c r="BB30" i="3"/>
  <c r="BB32" i="3"/>
  <c r="BB34" i="3"/>
  <c r="BB36" i="3"/>
  <c r="BB38" i="3"/>
  <c r="BB40" i="3"/>
  <c r="BB42" i="3"/>
  <c r="BB44" i="3"/>
  <c r="BB46" i="3"/>
  <c r="BB48" i="3"/>
  <c r="BB50" i="3"/>
  <c r="BB52" i="3"/>
  <c r="BB54" i="3"/>
  <c r="BB56" i="3"/>
  <c r="BB58" i="3"/>
  <c r="BB60" i="3"/>
  <c r="BB62" i="3"/>
  <c r="BB64" i="3"/>
  <c r="BB66" i="3"/>
  <c r="BB68" i="3"/>
  <c r="BB70" i="3"/>
  <c r="BB72" i="3"/>
  <c r="BB74" i="3"/>
  <c r="BB76" i="3"/>
  <c r="BB78" i="3"/>
  <c r="BB80" i="3"/>
  <c r="BB82" i="3"/>
  <c r="BB84" i="3"/>
  <c r="BB86" i="3"/>
  <c r="BB88" i="3"/>
  <c r="BB90" i="3"/>
  <c r="BB92" i="3"/>
  <c r="BB94" i="3"/>
  <c r="BB96" i="3"/>
  <c r="BB98" i="3"/>
  <c r="BB100" i="3"/>
  <c r="BB102" i="3"/>
  <c r="BB104" i="3"/>
  <c r="BB11" i="3"/>
  <c r="BB19" i="3"/>
  <c r="BB27" i="3"/>
  <c r="BB31" i="3"/>
  <c r="BB37" i="3"/>
  <c r="BB41" i="3"/>
  <c r="BB45" i="3"/>
  <c r="BB49" i="3"/>
  <c r="BB55" i="3"/>
  <c r="BB59" i="3"/>
  <c r="BB65" i="3"/>
  <c r="BB69" i="3"/>
  <c r="BB73" i="3"/>
  <c r="BB77" i="3"/>
  <c r="BB81" i="3"/>
  <c r="BB87" i="3"/>
  <c r="BB91" i="3"/>
  <c r="BB95" i="3"/>
  <c r="BB101" i="3"/>
  <c r="BB105" i="3"/>
  <c r="BB15" i="3"/>
  <c r="BB21" i="3"/>
  <c r="BB25" i="3"/>
  <c r="BB29" i="3"/>
  <c r="BB33" i="3"/>
  <c r="BB35" i="3"/>
  <c r="BB39" i="3"/>
  <c r="BB43" i="3"/>
  <c r="BB47" i="3"/>
  <c r="BB51" i="3"/>
  <c r="BB53" i="3"/>
  <c r="BB57" i="3"/>
  <c r="BB61" i="3"/>
  <c r="BB63" i="3"/>
  <c r="BJ63" i="3" s="1"/>
  <c r="BB67" i="3"/>
  <c r="BB71" i="3"/>
  <c r="BB75" i="3"/>
  <c r="BB79" i="3"/>
  <c r="BB83" i="3"/>
  <c r="BB85" i="3"/>
  <c r="BB89" i="3"/>
  <c r="BB93" i="3"/>
  <c r="BB97" i="3"/>
  <c r="BB99" i="3"/>
  <c r="BB103" i="3"/>
  <c r="BB10" i="3"/>
  <c r="CE75" i="3" l="1"/>
  <c r="CE33" i="3"/>
  <c r="CE91" i="3"/>
  <c r="CE73" i="3"/>
  <c r="CE55" i="3"/>
  <c r="CE11" i="3"/>
  <c r="CE98" i="3"/>
  <c r="CE90" i="3"/>
  <c r="CE82" i="3"/>
  <c r="CE74" i="3"/>
  <c r="CE66" i="3"/>
  <c r="CE58" i="3"/>
  <c r="CE50" i="3"/>
  <c r="CE42" i="3"/>
  <c r="CE34" i="3"/>
  <c r="CE26" i="3"/>
  <c r="CE23" i="3"/>
  <c r="CG105" i="3"/>
  <c r="CG101" i="3"/>
  <c r="CG97" i="3"/>
  <c r="CG93" i="3"/>
  <c r="CG89" i="3"/>
  <c r="CF93" i="3"/>
  <c r="CF83" i="3"/>
  <c r="CF75" i="3"/>
  <c r="CF67" i="3"/>
  <c r="CF59" i="3"/>
  <c r="CF51" i="3"/>
  <c r="CF43" i="3"/>
  <c r="CF35" i="3"/>
  <c r="CF27" i="3"/>
  <c r="CF20" i="3"/>
  <c r="CG67" i="3"/>
  <c r="CG43" i="3"/>
  <c r="CG21" i="3"/>
  <c r="CF92" i="3"/>
  <c r="CG82" i="3"/>
  <c r="CG74" i="3"/>
  <c r="CG66" i="3"/>
  <c r="CG58" i="3"/>
  <c r="CG50" i="3"/>
  <c r="CG42" i="3"/>
  <c r="CG34" i="3"/>
  <c r="CG26" i="3"/>
  <c r="CG13" i="3"/>
  <c r="CF90" i="3"/>
  <c r="CG69" i="3"/>
  <c r="CG45" i="3"/>
  <c r="CF103" i="3"/>
  <c r="CF88" i="3"/>
  <c r="CF80" i="3"/>
  <c r="CF72" i="3"/>
  <c r="CF64" i="3"/>
  <c r="CF56" i="3"/>
  <c r="CF48" i="3"/>
  <c r="CF40" i="3"/>
  <c r="CF32" i="3"/>
  <c r="CF24" i="3"/>
  <c r="CG18" i="3"/>
  <c r="CG12" i="3"/>
  <c r="CG77" i="3"/>
  <c r="CG61" i="3"/>
  <c r="CG35" i="3"/>
  <c r="CF11" i="3"/>
  <c r="CF15" i="3"/>
  <c r="CE10" i="3"/>
  <c r="CE103" i="3"/>
  <c r="CE61" i="3"/>
  <c r="CE47" i="3"/>
  <c r="CE15" i="3"/>
  <c r="CE37" i="3"/>
  <c r="CE18" i="3"/>
  <c r="CE99" i="3"/>
  <c r="CE85" i="3"/>
  <c r="CE71" i="3"/>
  <c r="CE57" i="3"/>
  <c r="CE43" i="3"/>
  <c r="CE29" i="3"/>
  <c r="CE105" i="3"/>
  <c r="CE87" i="3"/>
  <c r="CE69" i="3"/>
  <c r="CE49" i="3"/>
  <c r="CE31" i="3"/>
  <c r="CE104" i="3"/>
  <c r="CE96" i="3"/>
  <c r="CE88" i="3"/>
  <c r="CE80" i="3"/>
  <c r="CE72" i="3"/>
  <c r="CE64" i="3"/>
  <c r="CE56" i="3"/>
  <c r="CE48" i="3"/>
  <c r="CE40" i="3"/>
  <c r="CE32" i="3"/>
  <c r="CE24" i="3"/>
  <c r="CE16" i="3"/>
  <c r="CE17" i="3"/>
  <c r="CG104" i="3"/>
  <c r="CG100" i="3"/>
  <c r="CG96" i="3"/>
  <c r="CG92" i="3"/>
  <c r="CF105" i="3"/>
  <c r="CF89" i="3"/>
  <c r="CF81" i="3"/>
  <c r="CF73" i="3"/>
  <c r="CF65" i="3"/>
  <c r="CF57" i="3"/>
  <c r="CF49" i="3"/>
  <c r="CF41" i="3"/>
  <c r="CF33" i="3"/>
  <c r="CF25" i="3"/>
  <c r="CF19" i="3"/>
  <c r="CG59" i="3"/>
  <c r="CG37" i="3"/>
  <c r="CF104" i="3"/>
  <c r="CG88" i="3"/>
  <c r="CG80" i="3"/>
  <c r="CG72" i="3"/>
  <c r="CG64" i="3"/>
  <c r="CG56" i="3"/>
  <c r="CG48" i="3"/>
  <c r="CG40" i="3"/>
  <c r="CG32" i="3"/>
  <c r="CG24" i="3"/>
  <c r="CG11" i="3"/>
  <c r="CG83" i="3"/>
  <c r="CG63" i="3"/>
  <c r="CG39" i="3"/>
  <c r="CF99" i="3"/>
  <c r="CF86" i="3"/>
  <c r="CF78" i="3"/>
  <c r="CF70" i="3"/>
  <c r="CF62" i="3"/>
  <c r="CF54" i="3"/>
  <c r="CF46" i="3"/>
  <c r="CF38" i="3"/>
  <c r="CF30" i="3"/>
  <c r="CF22" i="3"/>
  <c r="CG17" i="3"/>
  <c r="CF98" i="3"/>
  <c r="CG73" i="3"/>
  <c r="CG55" i="3"/>
  <c r="CG29" i="3"/>
  <c r="CF12" i="3"/>
  <c r="CF16" i="3"/>
  <c r="CE93" i="3"/>
  <c r="CE89" i="3"/>
  <c r="CE97" i="3"/>
  <c r="CE83" i="3"/>
  <c r="CE67" i="3"/>
  <c r="CE53" i="3"/>
  <c r="CE39" i="3"/>
  <c r="CE25" i="3"/>
  <c r="CE101" i="3"/>
  <c r="CE81" i="3"/>
  <c r="CE65" i="3"/>
  <c r="CE45" i="3"/>
  <c r="CE27" i="3"/>
  <c r="CE102" i="3"/>
  <c r="CE94" i="3"/>
  <c r="CE86" i="3"/>
  <c r="CE78" i="3"/>
  <c r="CE70" i="3"/>
  <c r="CE62" i="3"/>
  <c r="CE54" i="3"/>
  <c r="CE46" i="3"/>
  <c r="CE38" i="3"/>
  <c r="CE30" i="3"/>
  <c r="CE22" i="3"/>
  <c r="CE14" i="3"/>
  <c r="CE13" i="3"/>
  <c r="CG103" i="3"/>
  <c r="CG99" i="3"/>
  <c r="CG95" i="3"/>
  <c r="CG91" i="3"/>
  <c r="CF101" i="3"/>
  <c r="CF87" i="3"/>
  <c r="CF79" i="3"/>
  <c r="CF71" i="3"/>
  <c r="CF63" i="3"/>
  <c r="CF55" i="3"/>
  <c r="CF47" i="3"/>
  <c r="CF39" i="3"/>
  <c r="CF31" i="3"/>
  <c r="CF23" i="3"/>
  <c r="CF18" i="3"/>
  <c r="CG53" i="3"/>
  <c r="CG33" i="3"/>
  <c r="CF100" i="3"/>
  <c r="CG86" i="3"/>
  <c r="CG78" i="3"/>
  <c r="CG70" i="3"/>
  <c r="CG62" i="3"/>
  <c r="CG54" i="3"/>
  <c r="CG46" i="3"/>
  <c r="CG38" i="3"/>
  <c r="CG30" i="3"/>
  <c r="CG22" i="3"/>
  <c r="CF102" i="3"/>
  <c r="CG79" i="3"/>
  <c r="CG57" i="3"/>
  <c r="CG31" i="3"/>
  <c r="CF95" i="3"/>
  <c r="CF84" i="3"/>
  <c r="CF76" i="3"/>
  <c r="CF68" i="3"/>
  <c r="CF60" i="3"/>
  <c r="CF52" i="3"/>
  <c r="CF44" i="3"/>
  <c r="CF36" i="3"/>
  <c r="CF28" i="3"/>
  <c r="CG20" i="3"/>
  <c r="CG16" i="3"/>
  <c r="CG87" i="3"/>
  <c r="CG71" i="3"/>
  <c r="CG47" i="3"/>
  <c r="CG23" i="3"/>
  <c r="CF13" i="3"/>
  <c r="CF17" i="3"/>
  <c r="CE79" i="3"/>
  <c r="CE63" i="3"/>
  <c r="CE51" i="3"/>
  <c r="CE35" i="3"/>
  <c r="CE21" i="3"/>
  <c r="CE95" i="3"/>
  <c r="CE77" i="3"/>
  <c r="CE59" i="3"/>
  <c r="CE41" i="3"/>
  <c r="CE19" i="3"/>
  <c r="CE100" i="3"/>
  <c r="CE92" i="3"/>
  <c r="CE84" i="3"/>
  <c r="CE76" i="3"/>
  <c r="CE68" i="3"/>
  <c r="CE60" i="3"/>
  <c r="CE52" i="3"/>
  <c r="CE44" i="3"/>
  <c r="CE36" i="3"/>
  <c r="CE28" i="3"/>
  <c r="CE20" i="3"/>
  <c r="CE12" i="3"/>
  <c r="CG10" i="3"/>
  <c r="CG102" i="3"/>
  <c r="CG98" i="3"/>
  <c r="CG94" i="3"/>
  <c r="CG90" i="3"/>
  <c r="CF97" i="3"/>
  <c r="CF85" i="3"/>
  <c r="CF77" i="3"/>
  <c r="CF69" i="3"/>
  <c r="CF61" i="3"/>
  <c r="CF53" i="3"/>
  <c r="CF45" i="3"/>
  <c r="CF37" i="3"/>
  <c r="CF29" i="3"/>
  <c r="CF21" i="3"/>
  <c r="CG85" i="3"/>
  <c r="CG49" i="3"/>
  <c r="CG27" i="3"/>
  <c r="CF96" i="3"/>
  <c r="CG84" i="3"/>
  <c r="CG76" i="3"/>
  <c r="CG68" i="3"/>
  <c r="CG60" i="3"/>
  <c r="CG52" i="3"/>
  <c r="CG44" i="3"/>
  <c r="CG36" i="3"/>
  <c r="CG28" i="3"/>
  <c r="CG15" i="3"/>
  <c r="CF94" i="3"/>
  <c r="CG75" i="3"/>
  <c r="CG51" i="3"/>
  <c r="CG25" i="3"/>
  <c r="CF91" i="3"/>
  <c r="CF82" i="3"/>
  <c r="CF74" i="3"/>
  <c r="CF66" i="3"/>
  <c r="CF58" i="3"/>
  <c r="CF50" i="3"/>
  <c r="CF42" i="3"/>
  <c r="CF34" i="3"/>
  <c r="CF26" i="3"/>
  <c r="CG19" i="3"/>
  <c r="CG14" i="3"/>
  <c r="CG81" i="3"/>
  <c r="CG65" i="3"/>
  <c r="CG41" i="3"/>
  <c r="CF10" i="3"/>
  <c r="CF14" i="3"/>
  <c r="BX61" i="3"/>
  <c r="BX91" i="3"/>
  <c r="BX73" i="3"/>
  <c r="BX37" i="3"/>
  <c r="BX11" i="3"/>
  <c r="BX98" i="3"/>
  <c r="BX90" i="3"/>
  <c r="BX82" i="3"/>
  <c r="BX74" i="3"/>
  <c r="BX66" i="3"/>
  <c r="BX58" i="3"/>
  <c r="BX50" i="3"/>
  <c r="BX42" i="3"/>
  <c r="BX34" i="3"/>
  <c r="BX26" i="3"/>
  <c r="BX18" i="3"/>
  <c r="BX23" i="3"/>
  <c r="BZ105" i="3"/>
  <c r="BZ101" i="3"/>
  <c r="BZ97" i="3"/>
  <c r="BZ93" i="3"/>
  <c r="BZ89" i="3"/>
  <c r="BY93" i="3"/>
  <c r="BY83" i="3"/>
  <c r="BY75" i="3"/>
  <c r="BY67" i="3"/>
  <c r="BY59" i="3"/>
  <c r="BY51" i="3"/>
  <c r="BY43" i="3"/>
  <c r="BY35" i="3"/>
  <c r="BY27" i="3"/>
  <c r="BY20" i="3"/>
  <c r="BZ67" i="3"/>
  <c r="BZ43" i="3"/>
  <c r="BZ21" i="3"/>
  <c r="BY92" i="3"/>
  <c r="BZ82" i="3"/>
  <c r="BZ74" i="3"/>
  <c r="BZ66" i="3"/>
  <c r="BZ58" i="3"/>
  <c r="BZ50" i="3"/>
  <c r="BZ42" i="3"/>
  <c r="BZ34" i="3"/>
  <c r="BZ26" i="3"/>
  <c r="BZ13" i="3"/>
  <c r="BY90" i="3"/>
  <c r="BZ69" i="3"/>
  <c r="BZ45" i="3"/>
  <c r="BY103" i="3"/>
  <c r="BY88" i="3"/>
  <c r="BY80" i="3"/>
  <c r="BY72" i="3"/>
  <c r="BY64" i="3"/>
  <c r="BY56" i="3"/>
  <c r="BY48" i="3"/>
  <c r="BY40" i="3"/>
  <c r="BY32" i="3"/>
  <c r="BY24" i="3"/>
  <c r="BZ18" i="3"/>
  <c r="BZ12" i="3"/>
  <c r="BZ77" i="3"/>
  <c r="BZ61" i="3"/>
  <c r="BZ35" i="3"/>
  <c r="BY11" i="3"/>
  <c r="BY15" i="3"/>
  <c r="BX89" i="3"/>
  <c r="BX47" i="3"/>
  <c r="BX33" i="3"/>
  <c r="BX15" i="3"/>
  <c r="BX55" i="3"/>
  <c r="BX99" i="3"/>
  <c r="BX85" i="3"/>
  <c r="BX71" i="3"/>
  <c r="BX57" i="3"/>
  <c r="BX43" i="3"/>
  <c r="BX29" i="3"/>
  <c r="BX105" i="3"/>
  <c r="BX87" i="3"/>
  <c r="BX69" i="3"/>
  <c r="BX49" i="3"/>
  <c r="BX31" i="3"/>
  <c r="BX104" i="3"/>
  <c r="BX96" i="3"/>
  <c r="BX88" i="3"/>
  <c r="BX80" i="3"/>
  <c r="BX72" i="3"/>
  <c r="BX64" i="3"/>
  <c r="BX56" i="3"/>
  <c r="BX48" i="3"/>
  <c r="BX40" i="3"/>
  <c r="BX32" i="3"/>
  <c r="BX24" i="3"/>
  <c r="BX16" i="3"/>
  <c r="BX17" i="3"/>
  <c r="BZ104" i="3"/>
  <c r="BZ100" i="3"/>
  <c r="BZ96" i="3"/>
  <c r="BZ92" i="3"/>
  <c r="BY105" i="3"/>
  <c r="BY89" i="3"/>
  <c r="BY81" i="3"/>
  <c r="BY73" i="3"/>
  <c r="BY65" i="3"/>
  <c r="BY57" i="3"/>
  <c r="BY49" i="3"/>
  <c r="BY41" i="3"/>
  <c r="BY33" i="3"/>
  <c r="BY25" i="3"/>
  <c r="BY19" i="3"/>
  <c r="BZ59" i="3"/>
  <c r="BZ37" i="3"/>
  <c r="BY104" i="3"/>
  <c r="BZ88" i="3"/>
  <c r="BZ80" i="3"/>
  <c r="BZ72" i="3"/>
  <c r="BZ64" i="3"/>
  <c r="BZ56" i="3"/>
  <c r="BZ48" i="3"/>
  <c r="BZ40" i="3"/>
  <c r="BZ32" i="3"/>
  <c r="BZ24" i="3"/>
  <c r="BZ11" i="3"/>
  <c r="BZ83" i="3"/>
  <c r="BZ63" i="3"/>
  <c r="BZ39" i="3"/>
  <c r="BY99" i="3"/>
  <c r="BY86" i="3"/>
  <c r="BY78" i="3"/>
  <c r="BY70" i="3"/>
  <c r="BY62" i="3"/>
  <c r="BY54" i="3"/>
  <c r="BY46" i="3"/>
  <c r="BY38" i="3"/>
  <c r="BY30" i="3"/>
  <c r="BY22" i="3"/>
  <c r="BZ17" i="3"/>
  <c r="BY98" i="3"/>
  <c r="BZ73" i="3"/>
  <c r="BZ55" i="3"/>
  <c r="BZ29" i="3"/>
  <c r="BY12" i="3"/>
  <c r="BY16" i="3"/>
  <c r="BX75" i="3"/>
  <c r="BX83" i="3"/>
  <c r="BX53" i="3"/>
  <c r="BX25" i="3"/>
  <c r="BX81" i="3"/>
  <c r="BX45" i="3"/>
  <c r="BX27" i="3"/>
  <c r="BX102" i="3"/>
  <c r="BX86" i="3"/>
  <c r="BX78" i="3"/>
  <c r="BX70" i="3"/>
  <c r="BX62" i="3"/>
  <c r="BX54" i="3"/>
  <c r="BX46" i="3"/>
  <c r="BX38" i="3"/>
  <c r="BX30" i="3"/>
  <c r="BX14" i="3"/>
  <c r="BX13" i="3"/>
  <c r="BZ103" i="3"/>
  <c r="BZ99" i="3"/>
  <c r="BZ95" i="3"/>
  <c r="BZ91" i="3"/>
  <c r="BY101" i="3"/>
  <c r="BY87" i="3"/>
  <c r="BY79" i="3"/>
  <c r="BY71" i="3"/>
  <c r="BY63" i="3"/>
  <c r="BY55" i="3"/>
  <c r="BY47" i="3"/>
  <c r="BY39" i="3"/>
  <c r="BY31" i="3"/>
  <c r="BY23" i="3"/>
  <c r="BY18" i="3"/>
  <c r="BZ53" i="3"/>
  <c r="BZ33" i="3"/>
  <c r="BY100" i="3"/>
  <c r="BZ86" i="3"/>
  <c r="BZ78" i="3"/>
  <c r="BZ70" i="3"/>
  <c r="BZ62" i="3"/>
  <c r="BZ54" i="3"/>
  <c r="BZ46" i="3"/>
  <c r="BZ38" i="3"/>
  <c r="BZ30" i="3"/>
  <c r="BZ22" i="3"/>
  <c r="BY102" i="3"/>
  <c r="BZ79" i="3"/>
  <c r="BZ57" i="3"/>
  <c r="BZ31" i="3"/>
  <c r="BY95" i="3"/>
  <c r="BY84" i="3"/>
  <c r="BY76" i="3"/>
  <c r="BY68" i="3"/>
  <c r="BY60" i="3"/>
  <c r="BY52" i="3"/>
  <c r="BY44" i="3"/>
  <c r="BY36" i="3"/>
  <c r="BY28" i="3"/>
  <c r="BZ20" i="3"/>
  <c r="BZ16" i="3"/>
  <c r="BZ87" i="3"/>
  <c r="BZ71" i="3"/>
  <c r="BZ47" i="3"/>
  <c r="BZ23" i="3"/>
  <c r="BY13" i="3"/>
  <c r="BY17" i="3"/>
  <c r="BX103" i="3"/>
  <c r="BX97" i="3"/>
  <c r="BX67" i="3"/>
  <c r="BX39" i="3"/>
  <c r="BX101" i="3"/>
  <c r="BX65" i="3"/>
  <c r="BX94" i="3"/>
  <c r="BX22" i="3"/>
  <c r="BX10" i="3"/>
  <c r="BX93" i="3"/>
  <c r="BX79" i="3"/>
  <c r="BX63" i="3"/>
  <c r="BX51" i="3"/>
  <c r="BX35" i="3"/>
  <c r="BX21" i="3"/>
  <c r="BX95" i="3"/>
  <c r="BX77" i="3"/>
  <c r="BX59" i="3"/>
  <c r="BX41" i="3"/>
  <c r="BX19" i="3"/>
  <c r="BX100" i="3"/>
  <c r="BX92" i="3"/>
  <c r="BX84" i="3"/>
  <c r="BX76" i="3"/>
  <c r="BX68" i="3"/>
  <c r="BX60" i="3"/>
  <c r="BX52" i="3"/>
  <c r="BX44" i="3"/>
  <c r="BX36" i="3"/>
  <c r="BX28" i="3"/>
  <c r="BX20" i="3"/>
  <c r="BX12" i="3"/>
  <c r="BZ10" i="3"/>
  <c r="BZ102" i="3"/>
  <c r="BZ98" i="3"/>
  <c r="BZ94" i="3"/>
  <c r="BZ90" i="3"/>
  <c r="BY97" i="3"/>
  <c r="BY85" i="3"/>
  <c r="BY77" i="3"/>
  <c r="BY69" i="3"/>
  <c r="BY61" i="3"/>
  <c r="BY53" i="3"/>
  <c r="BY45" i="3"/>
  <c r="BY37" i="3"/>
  <c r="BY29" i="3"/>
  <c r="BY21" i="3"/>
  <c r="BZ85" i="3"/>
  <c r="BZ49" i="3"/>
  <c r="BZ27" i="3"/>
  <c r="BY96" i="3"/>
  <c r="BZ84" i="3"/>
  <c r="BZ76" i="3"/>
  <c r="BZ68" i="3"/>
  <c r="BZ60" i="3"/>
  <c r="BZ52" i="3"/>
  <c r="BZ44" i="3"/>
  <c r="BZ36" i="3"/>
  <c r="BZ28" i="3"/>
  <c r="BZ15" i="3"/>
  <c r="BY94" i="3"/>
  <c r="BZ75" i="3"/>
  <c r="BZ51" i="3"/>
  <c r="BZ25" i="3"/>
  <c r="BY91" i="3"/>
  <c r="BY82" i="3"/>
  <c r="BY74" i="3"/>
  <c r="BY66" i="3"/>
  <c r="BY58" i="3"/>
  <c r="BY50" i="3"/>
  <c r="BY42" i="3"/>
  <c r="BY34" i="3"/>
  <c r="BY26" i="3"/>
  <c r="BZ19" i="3"/>
  <c r="BZ14" i="3"/>
  <c r="BZ81" i="3"/>
  <c r="BZ65" i="3"/>
  <c r="BZ41" i="3"/>
  <c r="BY10" i="3"/>
  <c r="BY14" i="3"/>
  <c r="BQ89" i="3"/>
  <c r="BQ75" i="3"/>
  <c r="BQ61" i="3"/>
  <c r="BQ47" i="3"/>
  <c r="BQ33" i="3"/>
  <c r="BQ91" i="3"/>
  <c r="BQ73" i="3"/>
  <c r="BQ55" i="3"/>
  <c r="BQ37" i="3"/>
  <c r="BQ98" i="3"/>
  <c r="BQ82" i="3"/>
  <c r="BQ74" i="3"/>
  <c r="BQ66" i="3"/>
  <c r="BQ50" i="3"/>
  <c r="BQ42" i="3"/>
  <c r="BQ34" i="3"/>
  <c r="BQ26" i="3"/>
  <c r="BQ18" i="3"/>
  <c r="BQ23" i="3"/>
  <c r="BS101" i="3"/>
  <c r="BS97" i="3"/>
  <c r="BS89" i="3"/>
  <c r="BR75" i="3"/>
  <c r="BR59" i="3"/>
  <c r="BR51" i="3"/>
  <c r="BS67" i="3"/>
  <c r="BS21" i="3"/>
  <c r="BS82" i="3"/>
  <c r="BS74" i="3"/>
  <c r="BS58" i="3"/>
  <c r="BS34" i="3"/>
  <c r="BS26" i="3"/>
  <c r="BR90" i="3"/>
  <c r="BS69" i="3"/>
  <c r="BS45" i="3"/>
  <c r="BR103" i="3"/>
  <c r="BR80" i="3"/>
  <c r="BR56" i="3"/>
  <c r="BR40" i="3"/>
  <c r="BR32" i="3"/>
  <c r="BS18" i="3"/>
  <c r="BS12" i="3"/>
  <c r="BS61" i="3"/>
  <c r="BR15" i="3"/>
  <c r="BQ99" i="3"/>
  <c r="BQ85" i="3"/>
  <c r="BQ71" i="3"/>
  <c r="BQ43" i="3"/>
  <c r="BQ29" i="3"/>
  <c r="BQ87" i="3"/>
  <c r="BQ31" i="3"/>
  <c r="BQ96" i="3"/>
  <c r="BQ80" i="3"/>
  <c r="BQ56" i="3"/>
  <c r="BQ24" i="3"/>
  <c r="BQ17" i="3"/>
  <c r="BS100" i="3"/>
  <c r="BR89" i="3"/>
  <c r="BR81" i="3"/>
  <c r="BR65" i="3"/>
  <c r="BR25" i="3"/>
  <c r="BS59" i="3"/>
  <c r="BS88" i="3"/>
  <c r="BS72" i="3"/>
  <c r="BS64" i="3"/>
  <c r="BS48" i="3"/>
  <c r="BS40" i="3"/>
  <c r="BS32" i="3"/>
  <c r="BS24" i="3"/>
  <c r="BS63" i="3"/>
  <c r="BS39" i="3"/>
  <c r="BR99" i="3"/>
  <c r="BR78" i="3"/>
  <c r="BR70" i="3"/>
  <c r="BR62" i="3"/>
  <c r="BR54" i="3"/>
  <c r="BR46" i="3"/>
  <c r="BR38" i="3"/>
  <c r="BR22" i="3"/>
  <c r="BS73" i="3"/>
  <c r="BS55" i="3"/>
  <c r="BS29" i="3"/>
  <c r="BR12" i="3"/>
  <c r="BQ97" i="3"/>
  <c r="BQ67" i="3"/>
  <c r="BQ39" i="3"/>
  <c r="BQ25" i="3"/>
  <c r="BQ101" i="3"/>
  <c r="BQ65" i="3"/>
  <c r="BQ45" i="3"/>
  <c r="BQ27" i="3"/>
  <c r="BQ102" i="3"/>
  <c r="BQ94" i="3"/>
  <c r="BQ86" i="3"/>
  <c r="BQ78" i="3"/>
  <c r="BQ70" i="3"/>
  <c r="BQ62" i="3"/>
  <c r="BQ54" i="3"/>
  <c r="BQ46" i="3"/>
  <c r="BQ38" i="3"/>
  <c r="BQ30" i="3"/>
  <c r="BQ22" i="3"/>
  <c r="BQ14" i="3"/>
  <c r="BQ13" i="3"/>
  <c r="BS103" i="3"/>
  <c r="BS99" i="3"/>
  <c r="BS95" i="3"/>
  <c r="BS91" i="3"/>
  <c r="BR101" i="3"/>
  <c r="BR87" i="3"/>
  <c r="BR79" i="3"/>
  <c r="BR71" i="3"/>
  <c r="BR63" i="3"/>
  <c r="BR55" i="3"/>
  <c r="BR47" i="3"/>
  <c r="BR39" i="3"/>
  <c r="BR31" i="3"/>
  <c r="BR23" i="3"/>
  <c r="BR18" i="3"/>
  <c r="BS53" i="3"/>
  <c r="BS33" i="3"/>
  <c r="BR100" i="3"/>
  <c r="BS86" i="3"/>
  <c r="BS78" i="3"/>
  <c r="BS70" i="3"/>
  <c r="BS62" i="3"/>
  <c r="BS54" i="3"/>
  <c r="BS46" i="3"/>
  <c r="BS38" i="3"/>
  <c r="BS30" i="3"/>
  <c r="BS22" i="3"/>
  <c r="BR102" i="3"/>
  <c r="BS79" i="3"/>
  <c r="BS57" i="3"/>
  <c r="BS31" i="3"/>
  <c r="BR95" i="3"/>
  <c r="BR84" i="3"/>
  <c r="BR76" i="3"/>
  <c r="BR68" i="3"/>
  <c r="BR60" i="3"/>
  <c r="BR52" i="3"/>
  <c r="BR44" i="3"/>
  <c r="BR36" i="3"/>
  <c r="BR28" i="3"/>
  <c r="BS20" i="3"/>
  <c r="BS16" i="3"/>
  <c r="BS87" i="3"/>
  <c r="BS71" i="3"/>
  <c r="BS47" i="3"/>
  <c r="BS23" i="3"/>
  <c r="BR13" i="3"/>
  <c r="BR17" i="3"/>
  <c r="BQ103" i="3"/>
  <c r="BQ15" i="3"/>
  <c r="BQ11" i="3"/>
  <c r="BQ90" i="3"/>
  <c r="BQ58" i="3"/>
  <c r="BS105" i="3"/>
  <c r="BS93" i="3"/>
  <c r="BR93" i="3"/>
  <c r="BR83" i="3"/>
  <c r="BR67" i="3"/>
  <c r="BR43" i="3"/>
  <c r="BR35" i="3"/>
  <c r="BR27" i="3"/>
  <c r="BR20" i="3"/>
  <c r="BS43" i="3"/>
  <c r="BR92" i="3"/>
  <c r="BS66" i="3"/>
  <c r="BS50" i="3"/>
  <c r="BS42" i="3"/>
  <c r="BS13" i="3"/>
  <c r="BR88" i="3"/>
  <c r="BR72" i="3"/>
  <c r="BR64" i="3"/>
  <c r="BR48" i="3"/>
  <c r="BR24" i="3"/>
  <c r="BS77" i="3"/>
  <c r="BS35" i="3"/>
  <c r="BR11" i="3"/>
  <c r="BQ57" i="3"/>
  <c r="BQ105" i="3"/>
  <c r="BQ69" i="3"/>
  <c r="BQ49" i="3"/>
  <c r="BQ104" i="3"/>
  <c r="BQ88" i="3"/>
  <c r="BQ72" i="3"/>
  <c r="BQ64" i="3"/>
  <c r="BQ48" i="3"/>
  <c r="BQ40" i="3"/>
  <c r="BQ32" i="3"/>
  <c r="BQ16" i="3"/>
  <c r="BS104" i="3"/>
  <c r="BS96" i="3"/>
  <c r="BS92" i="3"/>
  <c r="BR105" i="3"/>
  <c r="BR73" i="3"/>
  <c r="BR57" i="3"/>
  <c r="BR49" i="3"/>
  <c r="BR41" i="3"/>
  <c r="BR33" i="3"/>
  <c r="BR19" i="3"/>
  <c r="BS37" i="3"/>
  <c r="BR104" i="3"/>
  <c r="BS80" i="3"/>
  <c r="BS56" i="3"/>
  <c r="BS11" i="3"/>
  <c r="BS83" i="3"/>
  <c r="BR86" i="3"/>
  <c r="BR30" i="3"/>
  <c r="BS17" i="3"/>
  <c r="BR98" i="3"/>
  <c r="BR16" i="3"/>
  <c r="BQ83" i="3"/>
  <c r="BQ53" i="3"/>
  <c r="BQ81" i="3"/>
  <c r="BQ10" i="3"/>
  <c r="BQ93" i="3"/>
  <c r="BQ79" i="3"/>
  <c r="BQ63" i="3"/>
  <c r="BQ51" i="3"/>
  <c r="BQ35" i="3"/>
  <c r="BQ21" i="3"/>
  <c r="BQ95" i="3"/>
  <c r="BQ77" i="3"/>
  <c r="BQ59" i="3"/>
  <c r="BQ41" i="3"/>
  <c r="BQ19" i="3"/>
  <c r="BQ100" i="3"/>
  <c r="BQ92" i="3"/>
  <c r="BQ84" i="3"/>
  <c r="BQ76" i="3"/>
  <c r="BQ68" i="3"/>
  <c r="BQ60" i="3"/>
  <c r="BQ52" i="3"/>
  <c r="BQ44" i="3"/>
  <c r="BQ36" i="3"/>
  <c r="BQ28" i="3"/>
  <c r="BQ20" i="3"/>
  <c r="BQ12" i="3"/>
  <c r="BS10" i="3"/>
  <c r="BS102" i="3"/>
  <c r="BS98" i="3"/>
  <c r="BS94" i="3"/>
  <c r="BS90" i="3"/>
  <c r="BR97" i="3"/>
  <c r="BR85" i="3"/>
  <c r="BR77" i="3"/>
  <c r="BR69" i="3"/>
  <c r="BR61" i="3"/>
  <c r="BR53" i="3"/>
  <c r="BR45" i="3"/>
  <c r="BR37" i="3"/>
  <c r="BR29" i="3"/>
  <c r="BR21" i="3"/>
  <c r="BS85" i="3"/>
  <c r="BS49" i="3"/>
  <c r="BS27" i="3"/>
  <c r="BR96" i="3"/>
  <c r="BS84" i="3"/>
  <c r="BS76" i="3"/>
  <c r="BS68" i="3"/>
  <c r="BS60" i="3"/>
  <c r="BS52" i="3"/>
  <c r="BS44" i="3"/>
  <c r="BS36" i="3"/>
  <c r="BS28" i="3"/>
  <c r="BS15" i="3"/>
  <c r="BR94" i="3"/>
  <c r="BS75" i="3"/>
  <c r="BS51" i="3"/>
  <c r="BS25" i="3"/>
  <c r="BR91" i="3"/>
  <c r="BR82" i="3"/>
  <c r="BR74" i="3"/>
  <c r="BR66" i="3"/>
  <c r="BR58" i="3"/>
  <c r="BR50" i="3"/>
  <c r="BR42" i="3"/>
  <c r="BR34" i="3"/>
  <c r="BR26" i="3"/>
  <c r="BS19" i="3"/>
  <c r="BS14" i="3"/>
  <c r="BS81" i="3"/>
  <c r="BS65" i="3"/>
  <c r="BS41" i="3"/>
  <c r="BR10" i="3"/>
  <c r="BR14" i="3"/>
  <c r="BL105" i="3"/>
  <c r="BL101" i="3"/>
  <c r="BL97" i="3"/>
  <c r="BL93" i="3"/>
  <c r="BL89" i="3"/>
  <c r="BL67" i="3"/>
  <c r="BL43" i="3"/>
  <c r="BL21" i="3"/>
  <c r="BL82" i="3"/>
  <c r="BL74" i="3"/>
  <c r="BL66" i="3"/>
  <c r="BL58" i="3"/>
  <c r="BL50" i="3"/>
  <c r="BL42" i="3"/>
  <c r="BL34" i="3"/>
  <c r="BL26" i="3"/>
  <c r="BL13" i="3"/>
  <c r="BL69" i="3"/>
  <c r="BL45" i="3"/>
  <c r="BL18" i="3"/>
  <c r="BL12" i="3"/>
  <c r="BL77" i="3"/>
  <c r="BL61" i="3"/>
  <c r="BL35" i="3"/>
  <c r="BL104" i="3"/>
  <c r="BL100" i="3"/>
  <c r="BL96" i="3"/>
  <c r="BL92" i="3"/>
  <c r="BL59" i="3"/>
  <c r="BL37" i="3"/>
  <c r="BL88" i="3"/>
  <c r="BL80" i="3"/>
  <c r="BL72" i="3"/>
  <c r="BL64" i="3"/>
  <c r="BL56" i="3"/>
  <c r="BL48" i="3"/>
  <c r="BL40" i="3"/>
  <c r="BL32" i="3"/>
  <c r="BL24" i="3"/>
  <c r="BL11" i="3"/>
  <c r="BL83" i="3"/>
  <c r="BL63" i="3"/>
  <c r="BL39" i="3"/>
  <c r="BL17" i="3"/>
  <c r="BL73" i="3"/>
  <c r="BL55" i="3"/>
  <c r="BL29" i="3"/>
  <c r="BL103" i="3"/>
  <c r="BL99" i="3"/>
  <c r="BL95" i="3"/>
  <c r="BL91" i="3"/>
  <c r="BL53" i="3"/>
  <c r="BL33" i="3"/>
  <c r="BL86" i="3"/>
  <c r="BL78" i="3"/>
  <c r="BL70" i="3"/>
  <c r="BL62" i="3"/>
  <c r="BL54" i="3"/>
  <c r="BL46" i="3"/>
  <c r="BL38" i="3"/>
  <c r="BL30" i="3"/>
  <c r="BL22" i="3"/>
  <c r="BL79" i="3"/>
  <c r="BL57" i="3"/>
  <c r="BL31" i="3"/>
  <c r="BL20" i="3"/>
  <c r="BL16" i="3"/>
  <c r="BL87" i="3"/>
  <c r="BL71" i="3"/>
  <c r="BL47" i="3"/>
  <c r="BL23" i="3"/>
  <c r="BL102" i="3"/>
  <c r="BL98" i="3"/>
  <c r="BL94" i="3"/>
  <c r="BL90" i="3"/>
  <c r="BL85" i="3"/>
  <c r="BL49" i="3"/>
  <c r="BL27" i="3"/>
  <c r="BL84" i="3"/>
  <c r="BL76" i="3"/>
  <c r="BL68" i="3"/>
  <c r="BL60" i="3"/>
  <c r="BL52" i="3"/>
  <c r="BL44" i="3"/>
  <c r="BL36" i="3"/>
  <c r="BL28" i="3"/>
  <c r="BL15" i="3"/>
  <c r="BL75" i="3"/>
  <c r="BL51" i="3"/>
  <c r="BL25" i="3"/>
  <c r="BL19" i="3"/>
  <c r="BL14" i="3"/>
  <c r="BL81" i="3"/>
  <c r="BL65" i="3"/>
  <c r="BL41" i="3"/>
  <c r="BJ89" i="3"/>
  <c r="BJ33" i="3"/>
  <c r="BJ73" i="3"/>
  <c r="BJ37" i="3"/>
  <c r="BJ98" i="3"/>
  <c r="BJ82" i="3"/>
  <c r="BJ66" i="3"/>
  <c r="BJ50" i="3"/>
  <c r="BJ18" i="3"/>
  <c r="BK93" i="3"/>
  <c r="BK83" i="3"/>
  <c r="BK67" i="3"/>
  <c r="BK43" i="3"/>
  <c r="BK20" i="3"/>
  <c r="BK90" i="3"/>
  <c r="BK88" i="3"/>
  <c r="BK80" i="3"/>
  <c r="BK64" i="3"/>
  <c r="BK48" i="3"/>
  <c r="BK32" i="3"/>
  <c r="BK11" i="3"/>
  <c r="BJ99" i="3"/>
  <c r="BJ57" i="3"/>
  <c r="BJ29" i="3"/>
  <c r="BJ69" i="3"/>
  <c r="BJ31" i="3"/>
  <c r="BJ96" i="3"/>
  <c r="BJ80" i="3"/>
  <c r="BJ64" i="3"/>
  <c r="BJ56" i="3"/>
  <c r="BJ40" i="3"/>
  <c r="BJ16" i="3"/>
  <c r="BK105" i="3"/>
  <c r="BK81" i="3"/>
  <c r="BK73" i="3"/>
  <c r="BK65" i="3"/>
  <c r="BK57" i="3"/>
  <c r="BK41" i="3"/>
  <c r="BK33" i="3"/>
  <c r="BK25" i="3"/>
  <c r="BK19" i="3"/>
  <c r="BK104" i="3"/>
  <c r="BK86" i="3"/>
  <c r="BK62" i="3"/>
  <c r="BK30" i="3"/>
  <c r="BK98" i="3"/>
  <c r="BK16" i="3"/>
  <c r="BJ97" i="3"/>
  <c r="BJ83" i="3"/>
  <c r="BJ67" i="3"/>
  <c r="BJ53" i="3"/>
  <c r="BJ39" i="3"/>
  <c r="BJ25" i="3"/>
  <c r="BJ101" i="3"/>
  <c r="BJ81" i="3"/>
  <c r="BJ65" i="3"/>
  <c r="BJ45" i="3"/>
  <c r="BJ27" i="3"/>
  <c r="BJ102" i="3"/>
  <c r="BJ94" i="3"/>
  <c r="BJ86" i="3"/>
  <c r="BJ78" i="3"/>
  <c r="BJ70" i="3"/>
  <c r="BJ62" i="3"/>
  <c r="BJ54" i="3"/>
  <c r="BJ46" i="3"/>
  <c r="BJ38" i="3"/>
  <c r="BJ30" i="3"/>
  <c r="BJ22" i="3"/>
  <c r="BJ14" i="3"/>
  <c r="BJ13" i="3"/>
  <c r="BK101" i="3"/>
  <c r="BK87" i="3"/>
  <c r="BK79" i="3"/>
  <c r="BK71" i="3"/>
  <c r="BK63" i="3"/>
  <c r="BK55" i="3"/>
  <c r="BK47" i="3"/>
  <c r="BK39" i="3"/>
  <c r="BK31" i="3"/>
  <c r="BK23" i="3"/>
  <c r="BK18" i="3"/>
  <c r="BK100" i="3"/>
  <c r="BK102" i="3"/>
  <c r="BK95" i="3"/>
  <c r="BK84" i="3"/>
  <c r="BK76" i="3"/>
  <c r="BK68" i="3"/>
  <c r="BK60" i="3"/>
  <c r="BK52" i="3"/>
  <c r="BK44" i="3"/>
  <c r="BK36" i="3"/>
  <c r="BK28" i="3"/>
  <c r="BK13" i="3"/>
  <c r="BK17" i="3"/>
  <c r="BJ103" i="3"/>
  <c r="BJ75" i="3"/>
  <c r="BJ61" i="3"/>
  <c r="BJ47" i="3"/>
  <c r="BJ15" i="3"/>
  <c r="BJ91" i="3"/>
  <c r="BJ55" i="3"/>
  <c r="BJ11" i="3"/>
  <c r="BJ90" i="3"/>
  <c r="BJ74" i="3"/>
  <c r="BJ58" i="3"/>
  <c r="BJ42" i="3"/>
  <c r="BJ34" i="3"/>
  <c r="BJ26" i="3"/>
  <c r="BJ23" i="3"/>
  <c r="BK75" i="3"/>
  <c r="BK59" i="3"/>
  <c r="BK51" i="3"/>
  <c r="BK35" i="3"/>
  <c r="BK27" i="3"/>
  <c r="BK92" i="3"/>
  <c r="BK103" i="3"/>
  <c r="BK72" i="3"/>
  <c r="BK56" i="3"/>
  <c r="BK40" i="3"/>
  <c r="BK24" i="3"/>
  <c r="BK15" i="3"/>
  <c r="BJ85" i="3"/>
  <c r="BJ71" i="3"/>
  <c r="BJ43" i="3"/>
  <c r="BJ105" i="3"/>
  <c r="BJ87" i="3"/>
  <c r="BJ49" i="3"/>
  <c r="BJ104" i="3"/>
  <c r="BJ88" i="3"/>
  <c r="BJ72" i="3"/>
  <c r="BJ48" i="3"/>
  <c r="BJ32" i="3"/>
  <c r="BJ24" i="3"/>
  <c r="BJ17" i="3"/>
  <c r="BK89" i="3"/>
  <c r="BK49" i="3"/>
  <c r="BK99" i="3"/>
  <c r="BK78" i="3"/>
  <c r="BK70" i="3"/>
  <c r="BK54" i="3"/>
  <c r="BK46" i="3"/>
  <c r="BK38" i="3"/>
  <c r="BK22" i="3"/>
  <c r="BK12" i="3"/>
  <c r="BJ93" i="3"/>
  <c r="BJ79" i="3"/>
  <c r="BJ51" i="3"/>
  <c r="BJ35" i="3"/>
  <c r="BJ21" i="3"/>
  <c r="BJ95" i="3"/>
  <c r="BJ77" i="3"/>
  <c r="BJ59" i="3"/>
  <c r="BJ41" i="3"/>
  <c r="BJ19" i="3"/>
  <c r="BJ100" i="3"/>
  <c r="BJ92" i="3"/>
  <c r="BJ84" i="3"/>
  <c r="BJ76" i="3"/>
  <c r="BJ68" i="3"/>
  <c r="BJ60" i="3"/>
  <c r="BJ52" i="3"/>
  <c r="BJ44" i="3"/>
  <c r="BJ36" i="3"/>
  <c r="BJ28" i="3"/>
  <c r="BJ20" i="3"/>
  <c r="BJ12" i="3"/>
  <c r="BK97" i="3"/>
  <c r="BK85" i="3"/>
  <c r="BK77" i="3"/>
  <c r="BK69" i="3"/>
  <c r="BK61" i="3"/>
  <c r="BK53" i="3"/>
  <c r="BK45" i="3"/>
  <c r="BK37" i="3"/>
  <c r="BK29" i="3"/>
  <c r="BK21" i="3"/>
  <c r="BK96" i="3"/>
  <c r="BK94" i="3"/>
  <c r="BK91" i="3"/>
  <c r="BK82" i="3"/>
  <c r="BK74" i="3"/>
  <c r="BK66" i="3"/>
  <c r="BK58" i="3"/>
  <c r="BK50" i="3"/>
  <c r="BK42" i="3"/>
  <c r="BK34" i="3"/>
  <c r="BK26" i="3"/>
  <c r="BK14" i="3"/>
  <c r="BL10" i="3"/>
  <c r="BK10" i="3"/>
  <c r="BJ10" i="3"/>
  <c r="DH60" i="3" l="1"/>
  <c r="DI60" i="3"/>
  <c r="CZ52" i="3"/>
  <c r="DG46" i="3"/>
  <c r="CM51" i="3"/>
  <c r="CN58" i="3"/>
  <c r="CS40" i="3"/>
  <c r="DB59" i="3"/>
  <c r="CZ48" i="3"/>
  <c r="CZ56" i="3"/>
  <c r="DH37" i="3"/>
  <c r="DH45" i="3"/>
  <c r="DH53" i="3"/>
  <c r="DI59" i="3"/>
  <c r="DG42" i="3"/>
  <c r="DH47" i="3"/>
  <c r="DH55" i="3"/>
  <c r="DG52" i="3"/>
  <c r="DG60" i="3"/>
  <c r="DB57" i="3"/>
  <c r="DB37" i="3"/>
  <c r="DI57" i="3"/>
  <c r="DI37" i="3"/>
  <c r="DG38" i="3"/>
  <c r="DA37" i="3"/>
  <c r="CZ38" i="3"/>
  <c r="CT47" i="3"/>
  <c r="CT55" i="3"/>
  <c r="CU60" i="3"/>
  <c r="DA47" i="3"/>
  <c r="DA55" i="3"/>
  <c r="DB60" i="3"/>
  <c r="DB42" i="3"/>
  <c r="CZ42" i="3"/>
  <c r="CM38" i="3"/>
  <c r="CM47" i="3"/>
  <c r="CM55" i="3"/>
  <c r="CM48" i="3"/>
  <c r="CM42" i="3"/>
  <c r="CN38" i="3"/>
  <c r="CN60" i="3"/>
  <c r="CN44" i="3"/>
  <c r="CN52" i="3"/>
  <c r="CT38" i="3"/>
  <c r="CT43" i="3"/>
  <c r="CT51" i="3"/>
  <c r="CU58" i="3"/>
  <c r="CT59" i="3"/>
  <c r="DA38" i="3"/>
  <c r="DA43" i="3"/>
  <c r="DA51" i="3"/>
  <c r="DB58" i="3"/>
  <c r="CZ40" i="3"/>
  <c r="DA60" i="3"/>
  <c r="CZ46" i="3"/>
  <c r="DH38" i="3"/>
  <c r="DH43" i="3"/>
  <c r="DH51" i="3"/>
  <c r="DI58" i="3"/>
  <c r="DG40" i="3"/>
  <c r="DG48" i="3"/>
  <c r="DG56" i="3"/>
  <c r="DH41" i="3"/>
  <c r="DH49" i="3"/>
  <c r="DH58" i="3"/>
  <c r="CN39" i="3"/>
  <c r="DI42" i="3"/>
  <c r="DI50" i="3"/>
  <c r="DH42" i="3"/>
  <c r="DH50" i="3"/>
  <c r="DG39" i="3"/>
  <c r="DI41" i="3"/>
  <c r="DI49" i="3"/>
  <c r="DG41" i="3"/>
  <c r="DG49" i="3"/>
  <c r="DG57" i="3"/>
  <c r="DB38" i="3"/>
  <c r="DA45" i="3"/>
  <c r="DA53" i="3"/>
  <c r="DI38" i="3"/>
  <c r="DI44" i="3"/>
  <c r="DI52" i="3"/>
  <c r="DG50" i="3"/>
  <c r="DG58" i="3"/>
  <c r="DH59" i="3"/>
  <c r="DH44" i="3"/>
  <c r="DH52" i="3"/>
  <c r="DI39" i="3"/>
  <c r="DI43" i="3"/>
  <c r="DI51" i="3"/>
  <c r="DG43" i="3"/>
  <c r="DG51" i="3"/>
  <c r="DG59" i="3"/>
  <c r="DI46" i="3"/>
  <c r="DI54" i="3"/>
  <c r="DG44" i="3"/>
  <c r="DH46" i="3"/>
  <c r="DH54" i="3"/>
  <c r="DG37" i="3"/>
  <c r="DH57" i="3"/>
  <c r="DI45" i="3"/>
  <c r="DI53" i="3"/>
  <c r="DG45" i="3"/>
  <c r="DG53" i="3"/>
  <c r="DI40" i="3"/>
  <c r="DI48" i="3"/>
  <c r="DI56" i="3"/>
  <c r="DH39" i="3"/>
  <c r="DG54" i="3"/>
  <c r="DH40" i="3"/>
  <c r="DH48" i="3"/>
  <c r="DH56" i="3"/>
  <c r="DI47" i="3"/>
  <c r="DI55" i="3"/>
  <c r="DG47" i="3"/>
  <c r="DG55" i="3"/>
  <c r="CN41" i="3"/>
  <c r="CN49" i="3"/>
  <c r="CS57" i="3"/>
  <c r="CU46" i="3"/>
  <c r="CS44" i="3"/>
  <c r="CS52" i="3"/>
  <c r="CS60" i="3"/>
  <c r="CT48" i="3"/>
  <c r="CU41" i="3"/>
  <c r="CS43" i="3"/>
  <c r="DB46" i="3"/>
  <c r="DB54" i="3"/>
  <c r="CZ54" i="3"/>
  <c r="DA46" i="3"/>
  <c r="DA54" i="3"/>
  <c r="DB41" i="3"/>
  <c r="DB49" i="3"/>
  <c r="CZ39" i="3"/>
  <c r="CZ47" i="3"/>
  <c r="CZ55" i="3"/>
  <c r="CZ58" i="3"/>
  <c r="DB40" i="3"/>
  <c r="DB48" i="3"/>
  <c r="DB56" i="3"/>
  <c r="DA39" i="3"/>
  <c r="DA40" i="3"/>
  <c r="DA48" i="3"/>
  <c r="DA56" i="3"/>
  <c r="DB39" i="3"/>
  <c r="DB43" i="3"/>
  <c r="DB51" i="3"/>
  <c r="CZ41" i="3"/>
  <c r="CZ49" i="3"/>
  <c r="CZ57" i="3"/>
  <c r="DB50" i="3"/>
  <c r="CZ50" i="3"/>
  <c r="CZ60" i="3"/>
  <c r="DA42" i="3"/>
  <c r="DA50" i="3"/>
  <c r="DA57" i="3"/>
  <c r="DB45" i="3"/>
  <c r="DB53" i="3"/>
  <c r="CZ43" i="3"/>
  <c r="CZ51" i="3"/>
  <c r="CZ59" i="3"/>
  <c r="CM53" i="3"/>
  <c r="CN59" i="3"/>
  <c r="CT56" i="3"/>
  <c r="DA41" i="3"/>
  <c r="DA49" i="3"/>
  <c r="DA58" i="3"/>
  <c r="CZ37" i="3"/>
  <c r="DB44" i="3"/>
  <c r="DB52" i="3"/>
  <c r="CZ44" i="3"/>
  <c r="DA59" i="3"/>
  <c r="DA44" i="3"/>
  <c r="DA52" i="3"/>
  <c r="DB47" i="3"/>
  <c r="DB55" i="3"/>
  <c r="CZ45" i="3"/>
  <c r="CZ53" i="3"/>
  <c r="CT60" i="3"/>
  <c r="CT37" i="3"/>
  <c r="CU38" i="3"/>
  <c r="CT45" i="3"/>
  <c r="CT53" i="3"/>
  <c r="CU59" i="3"/>
  <c r="CU45" i="3"/>
  <c r="CU40" i="3"/>
  <c r="CU48" i="3"/>
  <c r="CU56" i="3"/>
  <c r="CT39" i="3"/>
  <c r="CS38" i="3"/>
  <c r="CS46" i="3"/>
  <c r="CS54" i="3"/>
  <c r="CT40" i="3"/>
  <c r="CT50" i="3"/>
  <c r="CU43" i="3"/>
  <c r="CS45" i="3"/>
  <c r="CS55" i="3"/>
  <c r="CU54" i="3"/>
  <c r="CU55" i="3"/>
  <c r="CT42" i="3"/>
  <c r="CU47" i="3"/>
  <c r="CU42" i="3"/>
  <c r="CU50" i="3"/>
  <c r="CS48" i="3"/>
  <c r="CS56" i="3"/>
  <c r="CT44" i="3"/>
  <c r="CT52" i="3"/>
  <c r="CU49" i="3"/>
  <c r="CS39" i="3"/>
  <c r="CS47" i="3"/>
  <c r="CS59" i="3"/>
  <c r="CS53" i="3"/>
  <c r="CN50" i="3"/>
  <c r="CT41" i="3"/>
  <c r="CT49" i="3"/>
  <c r="CT58" i="3"/>
  <c r="CU57" i="3"/>
  <c r="CU37" i="3"/>
  <c r="CS37" i="3"/>
  <c r="CU51" i="3"/>
  <c r="CS49" i="3"/>
  <c r="CU44" i="3"/>
  <c r="CU52" i="3"/>
  <c r="CS42" i="3"/>
  <c r="CS50" i="3"/>
  <c r="CS58" i="3"/>
  <c r="CT46" i="3"/>
  <c r="CT54" i="3"/>
  <c r="CU39" i="3"/>
  <c r="CT57" i="3"/>
  <c r="CU53" i="3"/>
  <c r="CS41" i="3"/>
  <c r="CS51" i="3"/>
  <c r="CM41" i="3"/>
  <c r="CM49" i="3"/>
  <c r="CM40" i="3"/>
  <c r="CM52" i="3"/>
  <c r="CM60" i="3"/>
  <c r="CM50" i="3"/>
  <c r="CN57" i="3"/>
  <c r="CN46" i="3"/>
  <c r="CN54" i="3"/>
  <c r="CN43" i="3"/>
  <c r="CN51" i="3"/>
  <c r="CM37" i="3"/>
  <c r="CM43" i="3"/>
  <c r="CM58" i="3"/>
  <c r="CM44" i="3"/>
  <c r="CM54" i="3"/>
  <c r="CL60" i="3"/>
  <c r="CM56" i="3"/>
  <c r="CM57" i="3"/>
  <c r="CN40" i="3"/>
  <c r="CN48" i="3"/>
  <c r="CN56" i="3"/>
  <c r="CN45" i="3"/>
  <c r="CN53" i="3"/>
  <c r="CN37" i="3"/>
  <c r="CM45" i="3"/>
  <c r="CM46" i="3"/>
  <c r="CM39" i="3"/>
  <c r="CM59" i="3"/>
  <c r="CN42" i="3"/>
  <c r="CN47" i="3"/>
  <c r="CN55" i="3"/>
  <c r="CL59" i="3"/>
  <c r="CL58" i="3"/>
  <c r="CL57" i="3"/>
  <c r="CL56" i="3"/>
  <c r="CL50" i="3"/>
  <c r="CL55" i="3"/>
  <c r="CL54" i="3"/>
  <c r="CL53" i="3"/>
  <c r="CL52" i="3"/>
  <c r="CL51" i="3"/>
  <c r="CL49" i="3"/>
  <c r="CL48" i="3"/>
  <c r="CL47" i="3"/>
  <c r="CL46" i="3"/>
  <c r="CL45" i="3"/>
  <c r="CL44" i="3"/>
  <c r="CL43" i="3"/>
  <c r="CL42" i="3"/>
  <c r="CL41" i="3"/>
  <c r="CL40" i="3"/>
  <c r="CL39" i="3"/>
  <c r="CL38" i="3"/>
  <c r="CL37" i="3"/>
  <c r="CM26" i="3"/>
  <c r="CM24" i="3"/>
  <c r="CN31" i="3"/>
  <c r="DI33" i="3"/>
  <c r="DH33" i="3"/>
  <c r="CZ25" i="3"/>
  <c r="DG19" i="3"/>
  <c r="DH11" i="3"/>
  <c r="DH16" i="3"/>
  <c r="DH24" i="3"/>
  <c r="DI31" i="3"/>
  <c r="DI15" i="3"/>
  <c r="DI23" i="3"/>
  <c r="DG13" i="3"/>
  <c r="DG21" i="3"/>
  <c r="DG29" i="3"/>
  <c r="DH15" i="3"/>
  <c r="DH23" i="3"/>
  <c r="DI14" i="3"/>
  <c r="DG14" i="3"/>
  <c r="DG30" i="3"/>
  <c r="DB17" i="3"/>
  <c r="DH14" i="3"/>
  <c r="DH22" i="3"/>
  <c r="DH31" i="3"/>
  <c r="DG27" i="3"/>
  <c r="DG12" i="3"/>
  <c r="DB11" i="3"/>
  <c r="DB32" i="3"/>
  <c r="CZ21" i="3"/>
  <c r="CZ29" i="3"/>
  <c r="DH10" i="3"/>
  <c r="DI11" i="3"/>
  <c r="DH18" i="3"/>
  <c r="DH26" i="3"/>
  <c r="DI32" i="3"/>
  <c r="DI17" i="3"/>
  <c r="DI25" i="3"/>
  <c r="DG15" i="3"/>
  <c r="DG23" i="3"/>
  <c r="DG31" i="3"/>
  <c r="DH32" i="3"/>
  <c r="DH17" i="3"/>
  <c r="DH25" i="3"/>
  <c r="DI12" i="3"/>
  <c r="DI16" i="3"/>
  <c r="DI24" i="3"/>
  <c r="DG16" i="3"/>
  <c r="DG24" i="3"/>
  <c r="DG32" i="3"/>
  <c r="DH20" i="3"/>
  <c r="DH28" i="3"/>
  <c r="DI19" i="3"/>
  <c r="DI27" i="3"/>
  <c r="DG17" i="3"/>
  <c r="DG25" i="3"/>
  <c r="DG33" i="3"/>
  <c r="DH19" i="3"/>
  <c r="DH27" i="3"/>
  <c r="DG10" i="3"/>
  <c r="DH30" i="3"/>
  <c r="DI18" i="3"/>
  <c r="DI26" i="3"/>
  <c r="DG18" i="3"/>
  <c r="DG26" i="3"/>
  <c r="DI22" i="3"/>
  <c r="DG22" i="3"/>
  <c r="DA14" i="3"/>
  <c r="DA22" i="3"/>
  <c r="DA31" i="3"/>
  <c r="DB30" i="3"/>
  <c r="DB10" i="3"/>
  <c r="CZ10" i="3"/>
  <c r="DB25" i="3"/>
  <c r="CZ17" i="3"/>
  <c r="DA17" i="3"/>
  <c r="DA25" i="3"/>
  <c r="DI30" i="3"/>
  <c r="DI10" i="3"/>
  <c r="DI13" i="3"/>
  <c r="DI21" i="3"/>
  <c r="DI29" i="3"/>
  <c r="DH12" i="3"/>
  <c r="DG11" i="3"/>
  <c r="DH13" i="3"/>
  <c r="DH21" i="3"/>
  <c r="DH29" i="3"/>
  <c r="DI20" i="3"/>
  <c r="DI28" i="3"/>
  <c r="DG20" i="3"/>
  <c r="DG28" i="3"/>
  <c r="DB20" i="3"/>
  <c r="DB28" i="3"/>
  <c r="CZ18" i="3"/>
  <c r="DA32" i="3"/>
  <c r="CZ26" i="3"/>
  <c r="DA11" i="3"/>
  <c r="DA16" i="3"/>
  <c r="DA24" i="3"/>
  <c r="DB31" i="3"/>
  <c r="CZ13" i="3"/>
  <c r="DA33" i="3"/>
  <c r="DB19" i="3"/>
  <c r="DB27" i="3"/>
  <c r="CZ19" i="3"/>
  <c r="CZ27" i="3"/>
  <c r="DA19" i="3"/>
  <c r="DA27" i="3"/>
  <c r="DB14" i="3"/>
  <c r="DB22" i="3"/>
  <c r="CZ12" i="3"/>
  <c r="CZ20" i="3"/>
  <c r="CZ28" i="3"/>
  <c r="DA10" i="3"/>
  <c r="DA18" i="3"/>
  <c r="DA26" i="3"/>
  <c r="CZ31" i="3"/>
  <c r="DB13" i="3"/>
  <c r="DB21" i="3"/>
  <c r="DB29" i="3"/>
  <c r="DA12" i="3"/>
  <c r="CZ11" i="3"/>
  <c r="DA13" i="3"/>
  <c r="DA21" i="3"/>
  <c r="DA29" i="3"/>
  <c r="DB12" i="3"/>
  <c r="DB16" i="3"/>
  <c r="DB24" i="3"/>
  <c r="CZ14" i="3"/>
  <c r="CZ22" i="3"/>
  <c r="CZ30" i="3"/>
  <c r="CU33" i="3"/>
  <c r="DA20" i="3"/>
  <c r="DA28" i="3"/>
  <c r="DB33" i="3"/>
  <c r="DB15" i="3"/>
  <c r="DB23" i="3"/>
  <c r="CZ15" i="3"/>
  <c r="CZ23" i="3"/>
  <c r="CZ33" i="3"/>
  <c r="DA15" i="3"/>
  <c r="DA23" i="3"/>
  <c r="DA30" i="3"/>
  <c r="DB18" i="3"/>
  <c r="DB26" i="3"/>
  <c r="CZ16" i="3"/>
  <c r="CZ24" i="3"/>
  <c r="CZ32" i="3"/>
  <c r="CM17" i="3"/>
  <c r="CM22" i="3"/>
  <c r="CT11" i="3"/>
  <c r="CT16" i="3"/>
  <c r="CT24" i="3"/>
  <c r="CU31" i="3"/>
  <c r="CT32" i="3"/>
  <c r="CS30" i="3"/>
  <c r="CU19" i="3"/>
  <c r="CS17" i="3"/>
  <c r="CS25" i="3"/>
  <c r="CS33" i="3"/>
  <c r="CT21" i="3"/>
  <c r="CU14" i="3"/>
  <c r="CS16" i="3"/>
  <c r="CT20" i="3"/>
  <c r="CT28" i="3"/>
  <c r="CS13" i="3"/>
  <c r="CT29" i="3"/>
  <c r="CT10" i="3"/>
  <c r="CU11" i="3"/>
  <c r="CT18" i="3"/>
  <c r="CT26" i="3"/>
  <c r="CU32" i="3"/>
  <c r="CU18" i="3"/>
  <c r="CU13" i="3"/>
  <c r="CU21" i="3"/>
  <c r="CU29" i="3"/>
  <c r="CT12" i="3"/>
  <c r="CS11" i="3"/>
  <c r="CS19" i="3"/>
  <c r="CS27" i="3"/>
  <c r="CT13" i="3"/>
  <c r="CT23" i="3"/>
  <c r="CU16" i="3"/>
  <c r="CS18" i="3"/>
  <c r="CS28" i="3"/>
  <c r="CT15" i="3"/>
  <c r="CU20" i="3"/>
  <c r="CU15" i="3"/>
  <c r="CU23" i="3"/>
  <c r="CS21" i="3"/>
  <c r="CS29" i="3"/>
  <c r="CT17" i="3"/>
  <c r="CT25" i="3"/>
  <c r="CU22" i="3"/>
  <c r="CS12" i="3"/>
  <c r="CS20" i="3"/>
  <c r="CS32" i="3"/>
  <c r="CT33" i="3"/>
  <c r="CU27" i="3"/>
  <c r="CU28" i="3"/>
  <c r="CS26" i="3"/>
  <c r="CT14" i="3"/>
  <c r="CT22" i="3"/>
  <c r="CT31" i="3"/>
  <c r="CU30" i="3"/>
  <c r="CU10" i="3"/>
  <c r="CS10" i="3"/>
  <c r="CU24" i="3"/>
  <c r="CS22" i="3"/>
  <c r="CU17" i="3"/>
  <c r="CU25" i="3"/>
  <c r="CS15" i="3"/>
  <c r="CS23" i="3"/>
  <c r="CS31" i="3"/>
  <c r="CT19" i="3"/>
  <c r="CT27" i="3"/>
  <c r="CU12" i="3"/>
  <c r="CT30" i="3"/>
  <c r="CU26" i="3"/>
  <c r="CS14" i="3"/>
  <c r="CS24" i="3"/>
  <c r="CM14" i="3"/>
  <c r="CM21" i="3"/>
  <c r="CM15" i="3"/>
  <c r="CN11" i="3"/>
  <c r="CN33" i="3"/>
  <c r="CN17" i="3"/>
  <c r="CN25" i="3"/>
  <c r="CN12" i="3"/>
  <c r="AO12" i="3" s="1"/>
  <c r="CN14" i="3"/>
  <c r="CN22" i="3"/>
  <c r="CM11" i="3"/>
  <c r="CM28" i="3"/>
  <c r="CM10" i="3"/>
  <c r="CM16" i="3"/>
  <c r="CM31" i="3"/>
  <c r="CM13" i="3"/>
  <c r="CM25" i="3"/>
  <c r="CM33" i="3"/>
  <c r="CM23" i="3"/>
  <c r="AN23" i="3" s="1"/>
  <c r="CN30" i="3"/>
  <c r="CN19" i="3"/>
  <c r="CN27" i="3"/>
  <c r="CN16" i="3"/>
  <c r="CN24" i="3"/>
  <c r="CN10" i="3"/>
  <c r="CM18" i="3"/>
  <c r="CM27" i="3"/>
  <c r="CL33" i="3"/>
  <c r="CM29" i="3"/>
  <c r="CM30" i="3"/>
  <c r="CN13" i="3"/>
  <c r="AO13" i="3" s="1"/>
  <c r="CN21" i="3"/>
  <c r="CN29" i="3"/>
  <c r="CN18" i="3"/>
  <c r="CN26" i="3"/>
  <c r="CM20" i="3"/>
  <c r="CM19" i="3"/>
  <c r="CM12" i="3"/>
  <c r="CM32" i="3"/>
  <c r="CN32" i="3"/>
  <c r="CN15" i="3"/>
  <c r="CN23" i="3"/>
  <c r="CN20" i="3"/>
  <c r="CN28" i="3"/>
  <c r="CL30" i="3"/>
  <c r="CL32" i="3"/>
  <c r="CL31" i="3"/>
  <c r="CL29" i="3"/>
  <c r="CL28" i="3"/>
  <c r="CL24" i="3"/>
  <c r="CL27" i="3"/>
  <c r="AM27" i="3" s="1"/>
  <c r="CL26" i="3"/>
  <c r="CL25" i="3"/>
  <c r="CL23" i="3"/>
  <c r="CL22" i="3"/>
  <c r="CL21" i="3"/>
  <c r="CL18" i="3"/>
  <c r="CL20" i="3"/>
  <c r="CL19" i="3"/>
  <c r="CL17" i="3"/>
  <c r="CL15" i="3"/>
  <c r="CL16" i="3"/>
  <c r="CL14" i="3"/>
  <c r="CL13" i="3"/>
  <c r="AM13" i="3" s="1"/>
  <c r="CL10" i="3"/>
  <c r="CL12" i="3"/>
  <c r="AM12" i="3" s="1"/>
  <c r="CL11" i="3"/>
  <c r="AM11" i="3" s="1"/>
  <c r="AT15" i="3" l="1"/>
  <c r="AT20" i="3"/>
  <c r="AV18" i="3"/>
  <c r="AV15" i="3"/>
  <c r="AT10" i="3"/>
  <c r="AT22" i="3"/>
  <c r="AT26" i="3"/>
  <c r="AV33" i="3"/>
  <c r="AU15" i="3"/>
  <c r="AT27" i="3"/>
  <c r="AT14" i="3"/>
  <c r="AT18" i="3"/>
  <c r="AV28" i="3"/>
  <c r="AU32" i="3"/>
  <c r="AV10" i="3"/>
  <c r="AV21" i="3"/>
  <c r="AU27" i="3"/>
  <c r="AV30" i="3"/>
  <c r="AU13" i="3"/>
  <c r="AT11" i="3"/>
  <c r="AV20" i="3"/>
  <c r="AU23" i="3"/>
  <c r="AT13" i="3"/>
  <c r="AU29" i="3"/>
  <c r="AT17" i="3"/>
  <c r="AT19" i="3"/>
  <c r="AT23" i="3"/>
  <c r="AT30" i="3"/>
  <c r="AU12" i="3"/>
  <c r="AV26" i="3"/>
  <c r="AV13" i="3"/>
  <c r="AU31" i="3"/>
  <c r="AV16" i="3"/>
  <c r="AU22" i="3"/>
  <c r="AV32" i="3"/>
  <c r="AU21" i="3"/>
  <c r="AV14" i="3"/>
  <c r="AU28" i="3"/>
  <c r="AT12" i="3"/>
  <c r="AT24" i="3"/>
  <c r="AT28" i="3"/>
  <c r="AT32" i="3"/>
  <c r="AU19" i="3"/>
  <c r="AU30" i="3"/>
  <c r="AU16" i="3"/>
  <c r="AV27" i="3"/>
  <c r="AU14" i="3"/>
  <c r="AU20" i="3"/>
  <c r="AT16" i="3"/>
  <c r="AT21" i="3"/>
  <c r="AT25" i="3"/>
  <c r="AT29" i="3"/>
  <c r="AT33" i="3"/>
  <c r="AV29" i="3"/>
  <c r="AU10" i="3"/>
  <c r="AV19" i="3"/>
  <c r="AU25" i="3"/>
  <c r="AN32" i="3"/>
  <c r="AN27" i="3"/>
  <c r="AO16" i="3"/>
  <c r="AO25" i="3"/>
  <c r="AN19" i="3"/>
  <c r="AM17" i="3"/>
  <c r="AM21" i="3"/>
  <c r="AO21" i="3"/>
  <c r="AO30" i="3"/>
  <c r="AN13" i="3"/>
  <c r="AM16" i="3"/>
  <c r="AM25" i="3"/>
  <c r="AO10" i="3"/>
  <c r="AN14" i="3"/>
  <c r="AM26" i="3"/>
  <c r="AM29" i="3"/>
  <c r="AN28" i="3"/>
  <c r="AO11" i="3"/>
  <c r="AO20" i="3"/>
  <c r="AM15" i="3"/>
  <c r="AM18" i="3"/>
  <c r="AO15" i="3"/>
  <c r="AO29" i="3"/>
  <c r="AN10" i="3"/>
  <c r="AO33" i="3"/>
  <c r="AO28" i="3"/>
  <c r="AO32" i="3"/>
  <c r="AN20" i="3"/>
  <c r="AM33" i="3"/>
  <c r="AM14" i="3"/>
  <c r="AM22" i="3"/>
  <c r="AM31" i="3"/>
  <c r="AN31" i="3"/>
  <c r="AN11" i="3"/>
  <c r="AM19" i="3"/>
  <c r="AO26" i="3"/>
  <c r="AM23" i="3"/>
  <c r="AM24" i="3"/>
  <c r="AO23" i="3"/>
  <c r="AN12" i="3"/>
  <c r="AM10" i="3"/>
  <c r="AM28" i="3"/>
  <c r="AM30" i="3"/>
  <c r="AN29" i="3"/>
  <c r="AO19" i="3"/>
  <c r="AN25" i="3"/>
  <c r="AO14" i="3"/>
  <c r="AM20" i="3"/>
  <c r="AM32" i="3"/>
  <c r="AO18" i="3"/>
  <c r="AN30" i="3"/>
  <c r="AN18" i="3"/>
  <c r="AO27" i="3"/>
  <c r="AN33" i="3"/>
  <c r="AN16" i="3"/>
  <c r="AO22" i="3"/>
  <c r="AN21" i="3"/>
  <c r="AO24" i="3"/>
  <c r="AN15" i="3"/>
  <c r="AO17" i="3"/>
  <c r="AO31" i="3"/>
  <c r="AN22" i="3"/>
  <c r="AN24" i="3"/>
  <c r="AN17" i="3"/>
  <c r="AN26" i="3"/>
  <c r="AT31" i="3"/>
  <c r="AV24" i="3"/>
  <c r="AV22" i="3"/>
  <c r="AV11" i="3"/>
  <c r="AU24" i="3"/>
  <c r="AV23" i="3"/>
  <c r="AU33" i="3"/>
  <c r="AV12" i="3"/>
  <c r="AU11" i="3"/>
  <c r="AV31" i="3"/>
  <c r="AU18" i="3"/>
  <c r="AV17" i="3"/>
  <c r="AV25" i="3"/>
  <c r="AU26" i="3"/>
  <c r="AU1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<sst xmlns="http://schemas.openxmlformats.org/spreadsheetml/2006/main" count="761" uniqueCount="166">
  <si>
    <t>平日</t>
  </si>
  <si>
    <t>平日</t>
    <rPh sb="0" eb="2">
      <t>ヘイジツ</t>
    </rPh>
    <phoneticPr fontId="1"/>
  </si>
  <si>
    <t>休日在宅</t>
  </si>
  <si>
    <t>休日在宅</t>
    <rPh sb="0" eb="2">
      <t>キュウジツ</t>
    </rPh>
    <rPh sb="2" eb="4">
      <t>ザイタク</t>
    </rPh>
    <phoneticPr fontId="1"/>
  </si>
  <si>
    <t>休日外出</t>
  </si>
  <si>
    <t>休日外出</t>
    <rPh sb="0" eb="2">
      <t>キュウジツ</t>
    </rPh>
    <rPh sb="2" eb="4">
      <t>ガイシュツ</t>
    </rPh>
    <phoneticPr fontId="1"/>
  </si>
  <si>
    <t>10:00 - 11:00</t>
  </si>
  <si>
    <t>11:00 - 12:00</t>
  </si>
  <si>
    <t>12:00 - 13:00</t>
  </si>
  <si>
    <t>13:00 - 14:00</t>
  </si>
  <si>
    <t>14:00 - 15:00</t>
  </si>
  <si>
    <t>15:00 - 16:00</t>
  </si>
  <si>
    <t>16:00 - 17:00</t>
  </si>
  <si>
    <t>17:00 - 18:00</t>
  </si>
  <si>
    <t>18:00 - 19:00</t>
  </si>
  <si>
    <t>19:00 - 20:00</t>
  </si>
  <si>
    <t>20:00 - 21:00</t>
  </si>
  <si>
    <t>21:00 - 22:00</t>
  </si>
  <si>
    <t>22:00 - 23:00</t>
  </si>
  <si>
    <t>部屋名</t>
  </si>
  <si>
    <t>台所</t>
  </si>
  <si>
    <t>居間・食堂</t>
  </si>
  <si>
    <t>主寝室</t>
  </si>
  <si>
    <t>洋室１</t>
  </si>
  <si>
    <t>洋室２</t>
  </si>
  <si>
    <t>洗面所</t>
  </si>
  <si>
    <t>便所１・２</t>
  </si>
  <si>
    <t>家電番号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</si>
  <si>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</si>
  <si>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</si>
  <si>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</si>
  <si>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</si>
  <si>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</si>
  <si>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</si>
  <si>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</si>
  <si>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</si>
  <si>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</si>
  <si>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</si>
  <si>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</si>
  <si>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</si>
  <si>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</si>
  <si>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</si>
  <si>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</si>
  <si>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</si>
  <si>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便所</t>
  </si>
  <si>
    <t>■Info.</t>
    <phoneticPr fontId="1"/>
  </si>
  <si>
    <t>ID</t>
    <phoneticPr fontId="1"/>
  </si>
  <si>
    <t>A01</t>
    <phoneticPr fontId="1"/>
  </si>
  <si>
    <t>A02</t>
    <phoneticPr fontId="1"/>
  </si>
  <si>
    <t>H.A. name</t>
    <phoneticPr fontId="1"/>
  </si>
  <si>
    <t>冷蔵庫</t>
    <rPh sb="0" eb="3">
      <t>レイゾウコ</t>
    </rPh>
    <phoneticPr fontId="1"/>
  </si>
  <si>
    <t>電気ケトル</t>
    <rPh sb="0" eb="2">
      <t>デンキ</t>
    </rPh>
    <phoneticPr fontId="1"/>
  </si>
  <si>
    <t>電子レンジ</t>
    <rPh sb="0" eb="2">
      <t>デンシ</t>
    </rPh>
    <phoneticPr fontId="1"/>
  </si>
  <si>
    <t>電気炊飯器</t>
    <rPh sb="0" eb="2">
      <t>デンキ</t>
    </rPh>
    <rPh sb="2" eb="5">
      <t>スイハンキ</t>
    </rPh>
    <phoneticPr fontId="1"/>
  </si>
  <si>
    <t>パソコン</t>
    <phoneticPr fontId="1"/>
  </si>
  <si>
    <t>掃除機</t>
    <rPh sb="0" eb="3">
      <t>ソウジキ</t>
    </rPh>
    <phoneticPr fontId="1"/>
  </si>
  <si>
    <t>アイロン</t>
    <phoneticPr fontId="1"/>
  </si>
  <si>
    <t>PCゲーム機</t>
    <rPh sb="5" eb="6">
      <t>キ</t>
    </rPh>
    <phoneticPr fontId="1"/>
  </si>
  <si>
    <t>MDコンポ</t>
    <phoneticPr fontId="1"/>
  </si>
  <si>
    <t>スタンド</t>
    <phoneticPr fontId="1"/>
  </si>
  <si>
    <t>洗濯機</t>
    <rPh sb="0" eb="3">
      <t>センタクキ</t>
    </rPh>
    <phoneticPr fontId="1"/>
  </si>
  <si>
    <t>ヘアドライヤー</t>
    <phoneticPr fontId="1"/>
  </si>
  <si>
    <t>便座</t>
    <rPh sb="0" eb="2">
      <t>ベンザ</t>
    </rPh>
    <phoneticPr fontId="1"/>
  </si>
  <si>
    <t>mode 0</t>
    <phoneticPr fontId="1"/>
  </si>
  <si>
    <t>mode 1</t>
    <phoneticPr fontId="1"/>
  </si>
  <si>
    <t>mode 2</t>
    <phoneticPr fontId="1"/>
  </si>
  <si>
    <t>mode 3</t>
    <phoneticPr fontId="1"/>
  </si>
  <si>
    <t>除霜</t>
    <rPh sb="0" eb="2">
      <t>ジョソウ</t>
    </rPh>
    <phoneticPr fontId="1"/>
  </si>
  <si>
    <t>休止</t>
    <rPh sb="0" eb="2">
      <t>キュウシ</t>
    </rPh>
    <phoneticPr fontId="1"/>
  </si>
  <si>
    <t>冷却</t>
    <rPh sb="0" eb="2">
      <t>レイキャク</t>
    </rPh>
    <phoneticPr fontId="1"/>
  </si>
  <si>
    <t>停止</t>
    <rPh sb="0" eb="2">
      <t>テイシ</t>
    </rPh>
    <phoneticPr fontId="1"/>
  </si>
  <si>
    <t>沸き上げ</t>
    <rPh sb="0" eb="1">
      <t>ワ</t>
    </rPh>
    <rPh sb="2" eb="3">
      <t>ア</t>
    </rPh>
    <phoneticPr fontId="1"/>
  </si>
  <si>
    <t>調理</t>
    <rPh sb="0" eb="2">
      <t>チョウリ</t>
    </rPh>
    <phoneticPr fontId="1"/>
  </si>
  <si>
    <t>炊飯</t>
    <rPh sb="0" eb="2">
      <t>スイハン</t>
    </rPh>
    <phoneticPr fontId="1"/>
  </si>
  <si>
    <t>保温</t>
    <rPh sb="0" eb="2">
      <t>ホオン</t>
    </rPh>
    <phoneticPr fontId="1"/>
  </si>
  <si>
    <t>待機</t>
    <rPh sb="0" eb="2">
      <t>タイキ</t>
    </rPh>
    <phoneticPr fontId="1"/>
  </si>
  <si>
    <t>視聴</t>
    <rPh sb="0" eb="2">
      <t>シチョウ</t>
    </rPh>
    <phoneticPr fontId="1"/>
  </si>
  <si>
    <t>使用</t>
    <rPh sb="0" eb="2">
      <t>シヨウ</t>
    </rPh>
    <phoneticPr fontId="1"/>
  </si>
  <si>
    <t>CDラジカセ（A12も同じ）</t>
    <rPh sb="11" eb="12">
      <t>オナ</t>
    </rPh>
    <phoneticPr fontId="1"/>
  </si>
  <si>
    <t>聴取</t>
    <rPh sb="0" eb="2">
      <t>チョウシュ</t>
    </rPh>
    <phoneticPr fontId="1"/>
  </si>
  <si>
    <t>稼働</t>
    <rPh sb="0" eb="2">
      <t>カドウ</t>
    </rPh>
    <phoneticPr fontId="1"/>
  </si>
  <si>
    <t>消灯</t>
    <rPh sb="0" eb="2">
      <t>ショウトウ</t>
    </rPh>
    <phoneticPr fontId="1"/>
  </si>
  <si>
    <t>点灯</t>
    <rPh sb="0" eb="2">
      <t>テントウ</t>
    </rPh>
    <phoneticPr fontId="1"/>
  </si>
  <si>
    <t>洗濯</t>
    <rPh sb="0" eb="2">
      <t>センタク</t>
    </rPh>
    <phoneticPr fontId="1"/>
  </si>
  <si>
    <t>暖房</t>
    <rPh sb="0" eb="2">
      <t>ダンボウ</t>
    </rPh>
    <phoneticPr fontId="1"/>
  </si>
  <si>
    <t>■Pram</t>
    <phoneticPr fontId="1"/>
  </si>
  <si>
    <t>◇評価対象の名前(文字列)</t>
    <rPh sb="1" eb="3">
      <t>ヒョウカ</t>
    </rPh>
    <rPh sb="3" eb="5">
      <t>タイショウ</t>
    </rPh>
    <rPh sb="6" eb="8">
      <t>ナマエ</t>
    </rPh>
    <rPh sb="9" eb="12">
      <t>モジレツ</t>
    </rPh>
    <phoneticPr fontId="1"/>
  </si>
  <si>
    <t>◇個別</t>
    <rPh sb="1" eb="3">
      <t>コベツ</t>
    </rPh>
    <phoneticPr fontId="1"/>
  </si>
  <si>
    <t>：</t>
    <phoneticPr fontId="1"/>
  </si>
  <si>
    <t>世帯人数</t>
    <rPh sb="0" eb="2">
      <t>セタイ</t>
    </rPh>
    <rPh sb="2" eb="4">
      <t>ニンズウ</t>
    </rPh>
    <phoneticPr fontId="1"/>
  </si>
  <si>
    <t>人世帯</t>
    <rPh sb="0" eb="3">
      <t>ニンセタイ</t>
    </rPh>
    <phoneticPr fontId="1"/>
  </si>
  <si>
    <t>◆入力</t>
    <rPh sb="1" eb="3">
      <t>ニュウリョク</t>
    </rPh>
    <phoneticPr fontId="1"/>
  </si>
  <si>
    <t>◆自動計算</t>
    <rPh sb="1" eb="3">
      <t>ジドウ</t>
    </rPh>
    <rPh sb="3" eb="5">
      <t>ケイサン</t>
    </rPh>
    <phoneticPr fontId="1"/>
  </si>
  <si>
    <t>参照シート（平日）</t>
    <rPh sb="0" eb="2">
      <t>サンショウ</t>
    </rPh>
    <rPh sb="6" eb="8">
      <t>ヘイジツ</t>
    </rPh>
    <phoneticPr fontId="1"/>
  </si>
  <si>
    <t>参照シート（休日在宅）</t>
    <rPh sb="0" eb="2">
      <t>サンショウ</t>
    </rPh>
    <rPh sb="6" eb="8">
      <t>キュウジツ</t>
    </rPh>
    <rPh sb="8" eb="10">
      <t>ザイタク</t>
    </rPh>
    <phoneticPr fontId="1"/>
  </si>
  <si>
    <t>参照シート（休日外出）</t>
    <rPh sb="0" eb="2">
      <t>サンショウ</t>
    </rPh>
    <rPh sb="6" eb="8">
      <t>キュウジツ</t>
    </rPh>
    <rPh sb="8" eb="10">
      <t>ガイシュツ</t>
    </rPh>
    <phoneticPr fontId="1"/>
  </si>
  <si>
    <t>■Data</t>
    <phoneticPr fontId="1"/>
  </si>
  <si>
    <t>◇mode table</t>
    <phoneticPr fontId="1"/>
  </si>
  <si>
    <t>対象家電1</t>
    <rPh sb="0" eb="2">
      <t>タイショウ</t>
    </rPh>
    <rPh sb="2" eb="4">
      <t>カデン</t>
    </rPh>
    <phoneticPr fontId="1"/>
  </si>
  <si>
    <t>動作条件数</t>
    <rPh sb="0" eb="2">
      <t>ドウサ</t>
    </rPh>
    <rPh sb="2" eb="4">
      <t>ジョウケン</t>
    </rPh>
    <rPh sb="4" eb="5">
      <t>スウ</t>
    </rPh>
    <phoneticPr fontId="1"/>
  </si>
  <si>
    <t>沸上</t>
    <rPh sb="0" eb="1">
      <t>ワ</t>
    </rPh>
    <rPh sb="1" eb="2">
      <t>ア</t>
    </rPh>
    <phoneticPr fontId="1"/>
  </si>
  <si>
    <t>処理対象家電 ID</t>
    <rPh sb="0" eb="2">
      <t>ショリ</t>
    </rPh>
    <rPh sb="2" eb="4">
      <t>タイショウ</t>
    </rPh>
    <rPh sb="4" eb="6">
      <t>カデン</t>
    </rPh>
    <phoneticPr fontId="1"/>
  </si>
  <si>
    <t>◇Calc.</t>
    <phoneticPr fontId="1"/>
  </si>
  <si>
    <t>◆Mode 0</t>
    <phoneticPr fontId="1"/>
  </si>
  <si>
    <t>◆Mode 1</t>
    <phoneticPr fontId="1"/>
  </si>
  <si>
    <t>◆Mode 2</t>
    <phoneticPr fontId="1"/>
  </si>
  <si>
    <t>◆Mode 3</t>
    <phoneticPr fontId="1"/>
  </si>
  <si>
    <t xml:space="preserve"> 0:00 -  1:00</t>
  </si>
  <si>
    <t xml:space="preserve"> 0:00 -  1:00</t>
    <phoneticPr fontId="1"/>
  </si>
  <si>
    <t xml:space="preserve"> 1:00 -  2:00</t>
  </si>
  <si>
    <t xml:space="preserve"> 1:00 -  2:00</t>
    <phoneticPr fontId="1"/>
  </si>
  <si>
    <t xml:space="preserve"> 2:00 -  3:00</t>
  </si>
  <si>
    <t xml:space="preserve"> 2:00 -  3:00</t>
    <phoneticPr fontId="1"/>
  </si>
  <si>
    <t xml:space="preserve"> 3:00 -  4:00</t>
  </si>
  <si>
    <t xml:space="preserve"> 3:00 -  4:00</t>
    <phoneticPr fontId="1"/>
  </si>
  <si>
    <t xml:space="preserve"> 4:00 -  5:00</t>
  </si>
  <si>
    <t xml:space="preserve"> 4:00 -  5:00</t>
    <phoneticPr fontId="1"/>
  </si>
  <si>
    <t xml:space="preserve"> 5:00 -  6:00</t>
  </si>
  <si>
    <t xml:space="preserve"> 5:00 -  6:00</t>
    <phoneticPr fontId="1"/>
  </si>
  <si>
    <t xml:space="preserve"> 6:00 -  7:00</t>
  </si>
  <si>
    <t xml:space="preserve"> 6:00 -  7:00</t>
    <phoneticPr fontId="1"/>
  </si>
  <si>
    <t xml:space="preserve"> 7:00 -  8:00</t>
  </si>
  <si>
    <t xml:space="preserve"> 7:00 -  8:00</t>
    <phoneticPr fontId="1"/>
  </si>
  <si>
    <t xml:space="preserve"> 8:00 -  9:00</t>
  </si>
  <si>
    <t xml:space="preserve"> 8:00 -  9:00</t>
    <phoneticPr fontId="1"/>
  </si>
  <si>
    <t xml:space="preserve"> 9:00 -  10:00</t>
  </si>
  <si>
    <t>23:00 -  0:00</t>
  </si>
  <si>
    <t>23:00 -  0:00</t>
    <phoneticPr fontId="1"/>
  </si>
  <si>
    <t>家電のモードテーブルを延べ動作時間に変更するツール</t>
    <rPh sb="0" eb="2">
      <t>カデン</t>
    </rPh>
    <rPh sb="11" eb="12">
      <t>ノ</t>
    </rPh>
    <rPh sb="13" eb="15">
      <t>ドウサ</t>
    </rPh>
    <rPh sb="15" eb="17">
      <t>ジカン</t>
    </rPh>
    <rPh sb="18" eb="20">
      <t>ヘンコウ</t>
    </rPh>
    <phoneticPr fontId="1"/>
  </si>
  <si>
    <t>「参考：省エネ基準参考資料_家電・調理.docx」形式専用</t>
    <rPh sb="25" eb="27">
      <t>ケイシキ</t>
    </rPh>
    <rPh sb="27" eb="29">
      <t>センヨウ</t>
    </rPh>
    <phoneticPr fontId="1"/>
  </si>
  <si>
    <t>動作1</t>
    <rPh sb="0" eb="2">
      <t>ドウサ</t>
    </rPh>
    <phoneticPr fontId="1"/>
  </si>
  <si>
    <t>動作2</t>
    <rPh sb="0" eb="2">
      <t>ドウサ</t>
    </rPh>
    <phoneticPr fontId="1"/>
  </si>
  <si>
    <t>動作3</t>
    <rPh sb="0" eb="2">
      <t>ドウサ</t>
    </rPh>
    <phoneticPr fontId="1"/>
  </si>
  <si>
    <t>動作4</t>
    <rPh sb="0" eb="2">
      <t>ドウサ</t>
    </rPh>
    <phoneticPr fontId="1"/>
  </si>
  <si>
    <t>◇modeの出力先(動作番号)</t>
    <rPh sb="6" eb="8">
      <t>シュツリョク</t>
    </rPh>
    <rPh sb="8" eb="9">
      <t>サキ</t>
    </rPh>
    <rPh sb="10" eb="12">
      <t>ドウサ</t>
    </rPh>
    <rPh sb="12" eb="14">
      <t>バンゴウ</t>
    </rPh>
    <phoneticPr fontId="1"/>
  </si>
  <si>
    <t>動作名1</t>
    <rPh sb="0" eb="2">
      <t>ドウサ</t>
    </rPh>
    <rPh sb="2" eb="3">
      <t>メイ</t>
    </rPh>
    <phoneticPr fontId="1"/>
  </si>
  <si>
    <t>動作名2</t>
    <rPh sb="0" eb="2">
      <t>ドウサ</t>
    </rPh>
    <rPh sb="2" eb="3">
      <t>メイ</t>
    </rPh>
    <phoneticPr fontId="1"/>
  </si>
  <si>
    <t>動作名3</t>
    <rPh sb="0" eb="2">
      <t>ドウサ</t>
    </rPh>
    <rPh sb="2" eb="3">
      <t>メイ</t>
    </rPh>
    <phoneticPr fontId="1"/>
  </si>
  <si>
    <t>動作名4</t>
    <rPh sb="0" eb="2">
      <t>ドウサ</t>
    </rPh>
    <rPh sb="2" eb="3">
      <t>メイ</t>
    </rPh>
    <phoneticPr fontId="1"/>
  </si>
  <si>
    <t>mode 0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</si>
  <si>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mode 1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</si>
  <si>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mode 2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</si>
  <si>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mode 3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1"/>
  </si>
  <si>
    <t>◇check values</t>
    <phoneticPr fontId="1"/>
  </si>
  <si>
    <t>テレビ（居間）</t>
    <rPh sb="4" eb="6">
      <t>イマ</t>
    </rPh>
    <phoneticPr fontId="1"/>
  </si>
  <si>
    <t>液晶テレビ（洋室1）</t>
    <rPh sb="0" eb="2">
      <t>エキショウ</t>
    </rPh>
    <rPh sb="6" eb="8">
      <t>ヨウシツ</t>
    </rPh>
    <phoneticPr fontId="1"/>
  </si>
  <si>
    <t xml:space="preserve"> 9:00 - 10:00</t>
    <phoneticPr fontId="1"/>
  </si>
  <si>
    <t>洗濯</t>
  </si>
  <si>
    <t>算出方法（時間／回数）</t>
    <rPh sb="0" eb="2">
      <t>サンシュツ</t>
    </rPh>
    <rPh sb="2" eb="4">
      <t>ホウホウ</t>
    </rPh>
    <rPh sb="5" eb="7">
      <t>ジカン</t>
    </rPh>
    <rPh sb="8" eb="10">
      <t>カイスウ</t>
    </rPh>
    <phoneticPr fontId="1"/>
  </si>
  <si>
    <t>◆Mode 0, hourly(hour)</t>
    <phoneticPr fontId="1"/>
  </si>
  <si>
    <t>◆Mode 1, hourly(hour)</t>
    <phoneticPr fontId="1"/>
  </si>
  <si>
    <t>◆Mode 2, hourly(hour)</t>
    <phoneticPr fontId="1"/>
  </si>
  <si>
    <t>◆Mode 3, hourly(hour)</t>
    <phoneticPr fontId="1"/>
  </si>
  <si>
    <t>◆Mode 0, hourly(times)</t>
    <phoneticPr fontId="1"/>
  </si>
  <si>
    <t>◆Mode 1, hourly(times)</t>
    <phoneticPr fontId="1"/>
  </si>
  <si>
    <t>◆Mode 2, hourly(times)</t>
    <phoneticPr fontId="1"/>
  </si>
  <si>
    <t>◆Mode 3, hourly(times)</t>
    <phoneticPr fontId="1"/>
  </si>
  <si>
    <t>◆Mode all, hourly(hour)</t>
    <phoneticPr fontId="1"/>
  </si>
  <si>
    <t>◆Mode all, hourly(times)</t>
    <phoneticPr fontId="1"/>
  </si>
  <si>
    <t>type</t>
    <phoneticPr fontId="1"/>
  </si>
  <si>
    <t>時間</t>
    <rPh sb="0" eb="2">
      <t>ジカン</t>
    </rPh>
    <phoneticPr fontId="1"/>
  </si>
  <si>
    <t>回数</t>
    <rPh sb="0" eb="2">
      <t>カイスウ</t>
    </rPh>
    <phoneticPr fontId="1"/>
  </si>
  <si>
    <t>continuous count</t>
    <phoneticPr fontId="1"/>
  </si>
  <si>
    <t>◇出力種別と1回とみなす継続回数</t>
    <rPh sb="1" eb="3">
      <t>シュツリョク</t>
    </rPh>
    <rPh sb="3" eb="5">
      <t>シュベツ</t>
    </rPh>
    <rPh sb="7" eb="8">
      <t>カイ</t>
    </rPh>
    <rPh sb="12" eb="14">
      <t>ケイゾク</t>
    </rPh>
    <rPh sb="14" eb="16">
      <t>カイスウ</t>
    </rPh>
    <phoneticPr fontId="1"/>
  </si>
  <si>
    <t>1回とみなす継続回数</t>
    <rPh sb="1" eb="2">
      <t>カイ</t>
    </rPh>
    <rPh sb="6" eb="8">
      <t>ケイゾク</t>
    </rPh>
    <rPh sb="8" eb="10">
      <t>カイスウ</t>
    </rPh>
    <phoneticPr fontId="1"/>
  </si>
  <si>
    <t>回</t>
    <rPh sb="0" eb="1">
      <t>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</si>
</sst>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theme="1"/>
      <name val="ＭＳ Ｐ明朝"/>
      <family val="1"/>
      <charset val="128"/>
    </font>
    <font>
      <sz val="9"/>
      <color rgb="FF000000"/>
      <name val="ＭＳ Ｐ明朝"/>
      <family val="1"/>
      <charset val="128"/>
    </font>
    <font>
      <sz val="9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20" fontId="2" fillId="0" borderId="5" xfId="0" applyNumberFormat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4" fillId="0" borderId="0" xfId="0" applyFont="1"/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176" fontId="4" fillId="3" borderId="1" xfId="0" applyNumberFormat="1" applyFont="1" applyFill="1" applyBorder="1"/>
    <xf numFmtId="20" fontId="4" fillId="3" borderId="1" xfId="0" applyNumberFormat="1" applyFont="1" applyFill="1" applyBorder="1"/>
    <xf numFmtId="20" fontId="4" fillId="0" borderId="0" xfId="0" applyNumberFormat="1" applyFont="1"/>
    <xf numFmtId="0" fontId="4" fillId="5" borderId="0" xfId="0" applyFont="1" applyFill="1"/>
    <xf numFmtId="0" fontId="5" fillId="5" borderId="0" xfId="0" applyFont="1" applyFill="1"/>
    <xf numFmtId="0" fontId="6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49" fontId="4" fillId="0" borderId="0" xfId="0" applyNumberFormat="1" applyFont="1"/>
    <xf numFmtId="0" fontId="7" fillId="6" borderId="0" xfId="0" applyFont="1" applyFill="1"/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/>
    <xf numFmtId="176" fontId="7" fillId="6" borderId="1" xfId="0" applyNumberFormat="1" applyFont="1" applyFill="1" applyBorder="1"/>
    <xf numFmtId="20" fontId="7" fillId="6" borderId="1" xfId="0" applyNumberFormat="1" applyFont="1" applyFill="1" applyBorder="1"/>
    <xf numFmtId="0" fontId="3" fillId="4" borderId="7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/>
    </xf>
  </cellXfs>
  <cellStyles count="1">
    <cellStyle name="標準" xfId="0" builtinId="0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819150</xdr:colOff>
      <xdr:row>1</xdr:row>
      <xdr:rowOff>38100</xdr:rowOff>
    </xdr:from>
    <xdr:to>
      <xdr:col>30</xdr:col>
      <xdr:colOff>219075</xdr:colOff>
      <xdr:row>3</xdr:row>
      <xdr:rowOff>0</xdr:rowOff>
    </xdr:to>
    <xdr:sp macro="[0]!ConvertMod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20417E2-3E76-48A0-B685-38984F56CFD0}"/>
            </a:ext>
          </a:extLst>
        </xdr:cNvPr>
        <xdr:cNvSpPr/>
      </xdr:nvSpPr>
      <xdr:spPr>
        <a:xfrm>
          <a:off x="11677650" y="133350"/>
          <a:ext cx="10668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Convert</a:t>
          </a:r>
          <a:endParaRPr kumimoji="1" lang="ja-JP" altLang="en-US" sz="1100"/>
        </a:p>
      </xdr:txBody>
    </xdr:sp>
    <xdr:clientData/>
  </xdr:twoCellAnchor>
  <xdr:twoCellAnchor>
    <xdr:from>
      <xdr:col>30</xdr:col>
      <xdr:colOff>381000</xdr:colOff>
      <xdr:row>1</xdr:row>
      <xdr:rowOff>38100</xdr:rowOff>
    </xdr:from>
    <xdr:to>
      <xdr:col>32</xdr:col>
      <xdr:colOff>57150</xdr:colOff>
      <xdr:row>3</xdr:row>
      <xdr:rowOff>0</xdr:rowOff>
    </xdr:to>
    <xdr:sp macro="[0]!createTextFileOfAdocTableDat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61F0410-83D7-42A2-8FE1-BF2F0A6FC852}"/>
            </a:ext>
          </a:extLst>
        </xdr:cNvPr>
        <xdr:cNvSpPr/>
      </xdr:nvSpPr>
      <xdr:spPr>
        <a:xfrm>
          <a:off x="12906375" y="133350"/>
          <a:ext cx="1066800" cy="4191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Create Txt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38100</xdr:rowOff>
    </xdr:from>
    <xdr:to>
      <xdr:col>28</xdr:col>
      <xdr:colOff>647700</xdr:colOff>
      <xdr:row>3</xdr:row>
      <xdr:rowOff>0</xdr:rowOff>
    </xdr:to>
    <xdr:sp macro="[0]!both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F22190B6-2F4F-43B4-876B-BD1500AEB364}"/>
            </a:ext>
          </a:extLst>
        </xdr:cNvPr>
        <xdr:cNvSpPr/>
      </xdr:nvSpPr>
      <xdr:spPr>
        <a:xfrm>
          <a:off x="10439400" y="133350"/>
          <a:ext cx="1066800" cy="4191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Both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48683-35AD-47EA-B396-8459CF090CFB}">
  <sheetPr codeName="Sheet1"/>
  <dimension ref="B1:DI295"/>
  <sheetViews>
    <sheetView tabSelected="1" topLeftCell="U1" workbookViewId="0">
      <selection activeCell="AE10" sqref="AE10"/>
    </sheetView>
  </sheetViews>
  <sheetFormatPr defaultColWidth="2.75" defaultRowHeight="16.5" customHeight="1"/>
  <cols>
    <col min="1" max="3" width="2.75" style="7"/>
    <col min="4" max="4" width="4.25" style="7" bestFit="1" customWidth="1"/>
    <col min="5" max="5" width="21" style="7" bestFit="1" customWidth="1"/>
    <col min="6" max="9" width="7" style="7" bestFit="1" customWidth="1"/>
    <col min="10" max="12" width="2.75" style="7"/>
    <col min="13" max="16" width="5.5" style="7" bestFit="1" customWidth="1"/>
    <col min="17" max="18" width="2.75" style="7"/>
    <col min="19" max="22" width="7.375" style="7" bestFit="1" customWidth="1"/>
    <col min="23" max="24" width="2.75" style="7"/>
    <col min="25" max="25" width="7.5" style="7" customWidth="1"/>
    <col min="26" max="26" width="15.625" style="7" bestFit="1" customWidth="1"/>
    <col min="27" max="28" width="2.75" style="7"/>
    <col min="29" max="29" width="18.875" style="7" bestFit="1" customWidth="1"/>
    <col min="30" max="30" width="3" style="7" bestFit="1" customWidth="1"/>
    <col min="31" max="31" width="12.25" style="7" bestFit="1" customWidth="1"/>
    <col min="32" max="32" width="6" style="7" bestFit="1" customWidth="1"/>
    <col min="33" max="36" width="2.75" style="7"/>
    <col min="37" max="37" width="3.25" style="7" bestFit="1" customWidth="1"/>
    <col min="38" max="38" width="10.375" style="7" customWidth="1"/>
    <col min="39" max="41" width="7.5" style="7" customWidth="1"/>
    <col min="42" max="43" width="2.75" style="7"/>
    <col min="44" max="44" width="3.25" style="7" bestFit="1" customWidth="1"/>
    <col min="45" max="45" width="10.375" style="7" customWidth="1"/>
    <col min="46" max="48" width="7.5" style="7" customWidth="1"/>
    <col min="49" max="51" width="2.75" style="7"/>
    <col min="52" max="52" width="3.25" style="7" bestFit="1" customWidth="1"/>
    <col min="53" max="53" width="5.625" style="7" bestFit="1" customWidth="1"/>
    <col min="54" max="56" width="7.5" style="7" customWidth="1"/>
    <col min="57" max="59" width="2.75" style="7"/>
    <col min="60" max="60" width="3.25" style="7" bestFit="1" customWidth="1"/>
    <col min="61" max="61" width="5.625" style="7" bestFit="1" customWidth="1"/>
    <col min="62" max="64" width="7.5" style="7" customWidth="1"/>
    <col min="65" max="66" width="2.75" style="7"/>
    <col min="67" max="67" width="3.25" style="7" bestFit="1" customWidth="1"/>
    <col min="68" max="68" width="5.625" style="7" bestFit="1" customWidth="1"/>
    <col min="69" max="71" width="7.5" style="7" customWidth="1"/>
    <col min="72" max="73" width="2.75" style="7"/>
    <col min="74" max="74" width="3.25" style="7" bestFit="1" customWidth="1"/>
    <col min="75" max="75" width="5.625" style="7" bestFit="1" customWidth="1"/>
    <col min="76" max="78" width="7.5" style="7" customWidth="1"/>
    <col min="79" max="80" width="2.75" style="7"/>
    <col min="81" max="81" width="3.25" style="7" bestFit="1" customWidth="1"/>
    <col min="82" max="82" width="5.625" style="7" bestFit="1" customWidth="1"/>
    <col min="83" max="85" width="7.5" style="7" customWidth="1"/>
    <col min="86" max="87" width="2.75" style="7"/>
    <col min="88" max="88" width="3.25" style="7" bestFit="1" customWidth="1"/>
    <col min="89" max="89" width="10.375" style="7" customWidth="1"/>
    <col min="90" max="92" width="7.5" style="7" customWidth="1"/>
    <col min="93" max="94" width="2.75" style="7"/>
    <col min="95" max="95" width="3.25" style="7" bestFit="1" customWidth="1"/>
    <col min="96" max="96" width="10.375" style="7" customWidth="1"/>
    <col min="97" max="99" width="7.5" style="7" customWidth="1"/>
    <col min="100" max="101" width="2.75" style="7"/>
    <col min="102" max="102" width="3.25" style="7" bestFit="1" customWidth="1"/>
    <col min="103" max="103" width="10.375" style="7" customWidth="1"/>
    <col min="104" max="106" width="7.5" style="7" customWidth="1"/>
    <col min="107" max="108" width="2.75" style="7"/>
    <col min="109" max="109" width="3.25" style="7" bestFit="1" customWidth="1"/>
    <col min="110" max="110" width="10.375" style="7" customWidth="1"/>
    <col min="111" max="113" width="7.5" style="7" customWidth="1"/>
    <col min="114" max="16384" width="2.75" style="7"/>
  </cols>
  <sheetData>
    <row r="1" spans="2:113" s="13" customFormat="1" ht="7.5" customHeight="1"/>
    <row r="2" spans="2:113" s="13" customFormat="1" ht="19.5">
      <c r="B2" s="14" t="s">
        <v>128</v>
      </c>
    </row>
    <row r="3" spans="2:113" s="13" customFormat="1" ht="16.5" customHeight="1">
      <c r="B3" s="13" t="s">
        <v>129</v>
      </c>
    </row>
    <row r="4" spans="2:113" s="13" customFormat="1" ht="7.5" customHeight="1"/>
    <row r="6" spans="2:113" ht="16.5" customHeight="1">
      <c r="C6" s="7" t="s">
        <v>45</v>
      </c>
      <c r="K6" s="7" t="s">
        <v>85</v>
      </c>
      <c r="AH6" s="7" t="s">
        <v>96</v>
      </c>
    </row>
    <row r="7" spans="2:113" ht="16.5" customHeight="1">
      <c r="L7" s="7" t="s">
        <v>86</v>
      </c>
      <c r="R7" s="7" t="s">
        <v>134</v>
      </c>
      <c r="X7" s="7" t="s">
        <v>163</v>
      </c>
      <c r="AA7" s="7" t="s">
        <v>87</v>
      </c>
      <c r="AI7" s="7" t="s">
        <v>143</v>
      </c>
      <c r="AX7" s="7" t="s">
        <v>97</v>
      </c>
      <c r="BF7" s="7" t="s">
        <v>102</v>
      </c>
    </row>
    <row r="8" spans="2:113" ht="16.5" customHeight="1">
      <c r="D8" s="15" t="s">
        <v>46</v>
      </c>
      <c r="E8" s="15" t="s">
        <v>49</v>
      </c>
      <c r="F8" s="15" t="s">
        <v>63</v>
      </c>
      <c r="G8" s="15" t="s">
        <v>64</v>
      </c>
      <c r="H8" s="15" t="s">
        <v>65</v>
      </c>
      <c r="I8" s="15" t="s">
        <v>66</v>
      </c>
      <c r="M8" s="15" t="s">
        <v>130</v>
      </c>
      <c r="N8" s="15" t="s">
        <v>131</v>
      </c>
      <c r="O8" s="15" t="s">
        <v>132</v>
      </c>
      <c r="P8" s="15" t="s">
        <v>133</v>
      </c>
      <c r="S8" s="15" t="s">
        <v>63</v>
      </c>
      <c r="T8" s="15" t="s">
        <v>64</v>
      </c>
      <c r="U8" s="15" t="s">
        <v>65</v>
      </c>
      <c r="V8" s="15" t="s">
        <v>66</v>
      </c>
      <c r="Y8" s="15" t="s">
        <v>159</v>
      </c>
      <c r="Z8" s="15" t="s">
        <v>162</v>
      </c>
      <c r="AB8" s="7" t="s">
        <v>91</v>
      </c>
      <c r="AJ8" s="7" t="s">
        <v>157</v>
      </c>
      <c r="AQ8" s="7" t="s">
        <v>158</v>
      </c>
      <c r="BG8" s="7" t="s">
        <v>103</v>
      </c>
      <c r="BN8" s="7" t="s">
        <v>104</v>
      </c>
      <c r="BU8" s="7" t="s">
        <v>105</v>
      </c>
      <c r="CB8" s="7" t="s">
        <v>106</v>
      </c>
      <c r="CI8" s="7" t="s">
        <v>149</v>
      </c>
      <c r="CP8" s="7" t="s">
        <v>150</v>
      </c>
      <c r="CW8" s="7" t="s">
        <v>151</v>
      </c>
      <c r="DD8" s="7" t="s">
        <v>152</v>
      </c>
    </row>
    <row r="9" spans="2:113" ht="16.5" customHeight="1">
      <c r="D9" s="16" t="s">
        <v>47</v>
      </c>
      <c r="E9" s="16" t="s">
        <v>50</v>
      </c>
      <c r="F9" s="16"/>
      <c r="G9" s="16" t="s">
        <v>67</v>
      </c>
      <c r="H9" s="16" t="s">
        <v>68</v>
      </c>
      <c r="I9" s="16" t="s">
        <v>69</v>
      </c>
      <c r="M9" s="16" t="s">
        <v>67</v>
      </c>
      <c r="N9" s="16" t="s">
        <v>80</v>
      </c>
      <c r="O9" s="16"/>
      <c r="P9" s="16"/>
      <c r="S9" s="16"/>
      <c r="T9" s="16">
        <v>1</v>
      </c>
      <c r="U9" s="16">
        <v>2</v>
      </c>
      <c r="V9" s="16">
        <v>2</v>
      </c>
      <c r="Y9" s="16" t="s">
        <v>160</v>
      </c>
      <c r="Z9" s="16"/>
      <c r="AC9" s="7" t="s">
        <v>101</v>
      </c>
      <c r="AD9" s="7" t="s">
        <v>88</v>
      </c>
      <c r="AE9" s="18" t="s">
        <v>41</v>
      </c>
      <c r="AK9" s="20"/>
      <c r="AL9" s="20"/>
      <c r="AM9" s="21" t="s">
        <v>1</v>
      </c>
      <c r="AN9" s="21" t="s">
        <v>3</v>
      </c>
      <c r="AO9" s="21" t="s">
        <v>5</v>
      </c>
      <c r="AR9" s="20"/>
      <c r="AS9" s="20"/>
      <c r="AT9" s="21" t="s">
        <v>1</v>
      </c>
      <c r="AU9" s="21" t="s">
        <v>3</v>
      </c>
      <c r="AV9" s="21" t="s">
        <v>5</v>
      </c>
      <c r="BB9" s="8" t="s">
        <v>1</v>
      </c>
      <c r="BC9" s="8" t="s">
        <v>3</v>
      </c>
      <c r="BD9" s="8" t="s">
        <v>5</v>
      </c>
      <c r="BJ9" s="8" t="s">
        <v>1</v>
      </c>
      <c r="BK9" s="8" t="s">
        <v>3</v>
      </c>
      <c r="BL9" s="8" t="s">
        <v>5</v>
      </c>
      <c r="BQ9" s="8" t="s">
        <v>1</v>
      </c>
      <c r="BR9" s="8" t="s">
        <v>3</v>
      </c>
      <c r="BS9" s="8" t="s">
        <v>5</v>
      </c>
      <c r="BX9" s="8" t="s">
        <v>1</v>
      </c>
      <c r="BY9" s="8" t="s">
        <v>3</v>
      </c>
      <c r="BZ9" s="8" t="s">
        <v>5</v>
      </c>
      <c r="CE9" s="8" t="s">
        <v>1</v>
      </c>
      <c r="CF9" s="8" t="s">
        <v>3</v>
      </c>
      <c r="CG9" s="8" t="s">
        <v>5</v>
      </c>
      <c r="CL9" s="8" t="s">
        <v>1</v>
      </c>
      <c r="CM9" s="8" t="s">
        <v>3</v>
      </c>
      <c r="CN9" s="8" t="s">
        <v>5</v>
      </c>
      <c r="CS9" s="8" t="s">
        <v>1</v>
      </c>
      <c r="CT9" s="8" t="s">
        <v>3</v>
      </c>
      <c r="CU9" s="8" t="s">
        <v>5</v>
      </c>
      <c r="CZ9" s="8" t="s">
        <v>1</v>
      </c>
      <c r="DA9" s="8" t="s">
        <v>3</v>
      </c>
      <c r="DB9" s="8" t="s">
        <v>5</v>
      </c>
      <c r="DG9" s="8" t="s">
        <v>1</v>
      </c>
      <c r="DH9" s="8" t="s">
        <v>3</v>
      </c>
      <c r="DI9" s="8" t="s">
        <v>5</v>
      </c>
    </row>
    <row r="10" spans="2:113" ht="16.5" customHeight="1">
      <c r="D10" s="16" t="s">
        <v>48</v>
      </c>
      <c r="E10" s="16" t="s">
        <v>51</v>
      </c>
      <c r="F10" s="16" t="s">
        <v>70</v>
      </c>
      <c r="G10" s="16" t="s">
        <v>71</v>
      </c>
      <c r="H10" s="16"/>
      <c r="I10" s="16"/>
      <c r="M10" s="16" t="s">
        <v>100</v>
      </c>
      <c r="N10" s="16"/>
      <c r="O10" s="16"/>
      <c r="P10" s="16"/>
      <c r="S10" s="16"/>
      <c r="T10" s="16">
        <v>1</v>
      </c>
      <c r="U10" s="16"/>
      <c r="V10" s="16"/>
      <c r="Y10" s="16" t="s">
        <v>161</v>
      </c>
      <c r="Z10" s="16">
        <v>1</v>
      </c>
      <c r="AC10" s="7" t="s">
        <v>89</v>
      </c>
      <c r="AD10" s="7" t="s">
        <v>88</v>
      </c>
      <c r="AE10" s="18">
        <v>1</v>
      </c>
      <c r="AF10" s="7" t="s">
        <v>90</v>
      </c>
      <c r="AK10" s="22">
        <v>1</v>
      </c>
      <c r="AL10" s="23" t="s">
        <v>107</v>
      </c>
      <c r="AM10" s="22" t="str">
        <f>IF(_type_of_Calc="時間",CL10+CS10+CZ10+DG10,"")</f>
        <v/>
      </c>
      <c r="AN10" s="22" t="str">
        <f>IF(_type_of_Calc="時間",CM10+CT10+DA10+DH10,"")</f>
        <v/>
      </c>
      <c r="AO10" s="22" t="str">
        <f>IF(_type_of_Calc="時間",CN10+CU10+DB10+DI10,"")</f>
        <v/>
      </c>
      <c r="AR10" s="22">
        <v>1</v>
      </c>
      <c r="AS10" s="23" t="s">
        <v>107</v>
      </c>
      <c r="AT10" s="22">
        <f ca="1">IF(_type_of_Calc="回数",CL37+CS37+CZ37+DG37,"")</f>
        <v>1.33</v>
      </c>
      <c r="AU10" s="22">
        <f ca="1">IF(_type_of_Calc="回数",CM37+CT37+DA37+DH37,"")</f>
        <v>1.33</v>
      </c>
      <c r="AV10" s="22">
        <f ca="1">IF(_type_of_Calc="回数",CN37+CU37+DB37+DI37,"")</f>
        <v>1.33</v>
      </c>
      <c r="AZ10" s="9">
        <v>1</v>
      </c>
      <c r="BA10" s="10">
        <v>36892</v>
      </c>
      <c r="BB10" s="9" cm="1">
        <f t="array" aca="1" ref="BB10" ca="1">INDIRECT(ADDRESS(2+$AZ10,1+MATCH($AE$9,INDIRECT($AE$16&amp;"!$B$2:$R$2"),0),1,1,$AE$16))</f>
        <v>0</v>
      </c>
      <c r="BC10" s="9" cm="1">
        <f t="array" aca="1" ref="BC10" ca="1">INDIRECT(ADDRESS(2+$AZ10,1+MATCH($AE$9,INDIRECT($AE$17&amp;"!$B$2:$R$2"),0),1,1,$AE$17))</f>
        <v>0</v>
      </c>
      <c r="BD10" s="9" cm="1">
        <f t="array" aca="1" ref="BD10" ca="1">INDIRECT(ADDRESS(2+$AZ10,1+MATCH($AE$9,INDIRECT($AE$18&amp;"!$B$2:$R$2"),0),1,1,$AE$18))</f>
        <v>0</v>
      </c>
      <c r="BH10" s="9">
        <v>1</v>
      </c>
      <c r="BI10" s="10">
        <v>36892</v>
      </c>
      <c r="BJ10" s="9" t="b">
        <f ca="1">IF($BB10=0,TRUE,"")</f>
        <v>1</v>
      </c>
      <c r="BK10" s="9" t="b">
        <f ca="1">IF($BC10=0,TRUE,"")</f>
        <v>1</v>
      </c>
      <c r="BL10" s="9" t="b">
        <f ca="1">IF($BD10=0,TRUE,"")</f>
        <v>1</v>
      </c>
      <c r="BO10" s="9">
        <v>1</v>
      </c>
      <c r="BP10" s="10">
        <v>36892</v>
      </c>
      <c r="BQ10" s="9" t="str">
        <f ca="1">IF($BB10=1,TRUE,"")</f>
        <v/>
      </c>
      <c r="BR10" s="9" t="str">
        <f ca="1">IF($BC10=1,TRUE,"")</f>
        <v/>
      </c>
      <c r="BS10" s="9" t="str">
        <f ca="1">IF($BD10=1,TRUE,"")</f>
        <v/>
      </c>
      <c r="BV10" s="9">
        <v>1</v>
      </c>
      <c r="BW10" s="10">
        <v>36892</v>
      </c>
      <c r="BX10" s="9" t="str">
        <f ca="1">IF($BB10=2,TRUE,"")</f>
        <v/>
      </c>
      <c r="BY10" s="9" t="str">
        <f ca="1">IF($BC10=2,TRUE,"")</f>
        <v/>
      </c>
      <c r="BZ10" s="9" t="str">
        <f ca="1">IF($BD10=2,TRUE,"")</f>
        <v/>
      </c>
      <c r="CC10" s="9">
        <v>1</v>
      </c>
      <c r="CD10" s="10">
        <v>36892</v>
      </c>
      <c r="CE10" s="9" t="str">
        <f ca="1">IF($BB10=3,TRUE,"")</f>
        <v/>
      </c>
      <c r="CF10" s="9" t="str">
        <f ca="1">IF($BC10=3,TRUE,"")</f>
        <v/>
      </c>
      <c r="CG10" s="9" t="str">
        <f ca="1">IF($BD10=3,TRUE,"")</f>
        <v/>
      </c>
      <c r="CJ10" s="9">
        <v>1</v>
      </c>
      <c r="CK10" s="10" t="s">
        <v>107</v>
      </c>
      <c r="CL10" s="9">
        <f ca="1">COUNTIF(BJ10:BJ13,TRUE)/4</f>
        <v>1</v>
      </c>
      <c r="CM10" s="9">
        <f t="shared" ref="CM10:CN10" ca="1" si="0">COUNTIF(BK10:BK13,TRUE)/4</f>
        <v>1</v>
      </c>
      <c r="CN10" s="9">
        <f t="shared" ca="1" si="0"/>
        <v>1</v>
      </c>
      <c r="CQ10" s="9">
        <v>1</v>
      </c>
      <c r="CR10" s="10" t="s">
        <v>107</v>
      </c>
      <c r="CS10" s="9">
        <f ca="1">COUNTIF(BQ10:BQ13,TRUE)/4</f>
        <v>0</v>
      </c>
      <c r="CT10" s="9">
        <f t="shared" ref="CT10" ca="1" si="1">COUNTIF(BR10:BR13,TRUE)/4</f>
        <v>0</v>
      </c>
      <c r="CU10" s="9">
        <f t="shared" ref="CU10" ca="1" si="2">COUNTIF(BS10:BS13,TRUE)/4</f>
        <v>0</v>
      </c>
      <c r="CX10" s="9">
        <v>1</v>
      </c>
      <c r="CY10" s="10" t="s">
        <v>107</v>
      </c>
      <c r="CZ10" s="9">
        <f ca="1">COUNTIF(BX10:BX13,TRUE)/4</f>
        <v>0</v>
      </c>
      <c r="DA10" s="9">
        <f t="shared" ref="DA10" ca="1" si="3">COUNTIF(BY10:BY13,TRUE)/4</f>
        <v>0</v>
      </c>
      <c r="DB10" s="9">
        <f t="shared" ref="DB10" ca="1" si="4">COUNTIF(BZ10:BZ13,TRUE)/4</f>
        <v>0</v>
      </c>
      <c r="DE10" s="9">
        <v>1</v>
      </c>
      <c r="DF10" s="10" t="s">
        <v>107</v>
      </c>
      <c r="DG10" s="9">
        <f ca="1">COUNTIF(CE10:CE13,TRUE)/4</f>
        <v>0</v>
      </c>
      <c r="DH10" s="9">
        <f t="shared" ref="DH10" ca="1" si="5">COUNTIF(CF10:CF13,TRUE)/4</f>
        <v>0</v>
      </c>
      <c r="DI10" s="9">
        <f t="shared" ref="DI10" ca="1" si="6">COUNTIF(CG10:CG13,TRUE)/4</f>
        <v>0</v>
      </c>
    </row>
    <row r="11" spans="2:113" ht="16.5" customHeight="1">
      <c r="D11" s="16" t="s">
        <v>30</v>
      </c>
      <c r="E11" s="16" t="s">
        <v>52</v>
      </c>
      <c r="F11" s="16" t="s">
        <v>70</v>
      </c>
      <c r="G11" s="16" t="s">
        <v>72</v>
      </c>
      <c r="H11" s="16"/>
      <c r="I11" s="16"/>
      <c r="M11" s="16" t="s">
        <v>72</v>
      </c>
      <c r="N11" s="16"/>
      <c r="O11" s="16"/>
      <c r="P11" s="16"/>
      <c r="S11" s="16"/>
      <c r="T11" s="16">
        <v>1</v>
      </c>
      <c r="U11" s="16"/>
      <c r="V11" s="16"/>
      <c r="Y11" s="16" t="s">
        <v>160</v>
      </c>
      <c r="Z11" s="16"/>
      <c r="AK11" s="22">
        <v>2</v>
      </c>
      <c r="AL11" s="24" t="s">
        <v>109</v>
      </c>
      <c r="AM11" s="22" t="str">
        <f>IF(_type_of_Calc="時間",CL11+CS11+CZ11+DG11,"")</f>
        <v/>
      </c>
      <c r="AN11" s="22" t="str">
        <f>IF(_type_of_Calc="時間",CM11+CT11+DA11+DH11,"")</f>
        <v/>
      </c>
      <c r="AO11" s="22" t="str">
        <f>IF(_type_of_Calc="時間",CN11+CU11+DB11+DI11,"")</f>
        <v/>
      </c>
      <c r="AR11" s="22">
        <v>2</v>
      </c>
      <c r="AS11" s="24" t="s">
        <v>109</v>
      </c>
      <c r="AT11" s="22">
        <f ca="1">IF(_type_of_Calc="回数",CL38+CS38+CZ38+DG38,"")</f>
        <v>1.33</v>
      </c>
      <c r="AU11" s="22">
        <f ca="1">IF(_type_of_Calc="回数",CM38+CT38+DA38+DH38,"")</f>
        <v>1.33</v>
      </c>
      <c r="AV11" s="22">
        <f ca="1">IF(_type_of_Calc="回数",CN38+CU38+DB38+DI38,"")</f>
        <v>1.33</v>
      </c>
      <c r="AZ11" s="9">
        <v>2</v>
      </c>
      <c r="BA11" s="11">
        <f>BA10+1/24/4</f>
        <v>36892.010416666664</v>
      </c>
      <c r="BB11" s="9" cm="1">
        <f t="array" aca="1" ref="BB11" ca="1">INDIRECT(ADDRESS(2+$AZ11,1+MATCH($AE$9,INDIRECT($AE$16&amp;"!$B$2:$R$2"),0),1,1,$AE$16))</f>
        <v>0</v>
      </c>
      <c r="BC11" s="9" cm="1">
        <f t="array" aca="1" ref="BC11" ca="1">INDIRECT(ADDRESS(2+$AZ11,1+MATCH($AE$9,INDIRECT($AE$17&amp;"!$B$2:$R$2"),0),1,1,$AE$17))</f>
        <v>0</v>
      </c>
      <c r="BD11" s="9" cm="1">
        <f t="array" aca="1" ref="BD11" ca="1">INDIRECT(ADDRESS(2+$AZ11,1+MATCH($AE$9,INDIRECT($AE$18&amp;"!$B$2:$R$2"),0),1,1,$AE$18))</f>
        <v>0</v>
      </c>
      <c r="BH11" s="9">
        <v>2</v>
      </c>
      <c r="BI11" s="11">
        <f>BI10+1/24/4</f>
        <v>36892.010416666664</v>
      </c>
      <c r="BJ11" s="9" t="b">
        <f t="shared" ref="BJ11:BJ74" ca="1" si="7">IF($BB11=0,TRUE,"")</f>
        <v>1</v>
      </c>
      <c r="BK11" s="9" t="b">
        <f t="shared" ref="BK11:BK74" ca="1" si="8">IF($BC11=0,TRUE,"")</f>
        <v>1</v>
      </c>
      <c r="BL11" s="9" t="b">
        <f t="shared" ref="BL11:BL74" ca="1" si="9">IF($BD11=0,TRUE,"")</f>
        <v>1</v>
      </c>
      <c r="BO11" s="9">
        <v>2</v>
      </c>
      <c r="BP11" s="11">
        <f>BP10+1/24/4</f>
        <v>36892.010416666664</v>
      </c>
      <c r="BQ11" s="9" t="str">
        <f t="shared" ref="BQ11:BQ74" ca="1" si="10">IF($BB11=1,TRUE,"")</f>
        <v/>
      </c>
      <c r="BR11" s="9" t="str">
        <f t="shared" ref="BR11:BR74" ca="1" si="11">IF($BC11=1,TRUE,"")</f>
        <v/>
      </c>
      <c r="BS11" s="9" t="str">
        <f t="shared" ref="BS11:BS74" ca="1" si="12">IF($BD11=1,TRUE,"")</f>
        <v/>
      </c>
      <c r="BV11" s="9">
        <v>2</v>
      </c>
      <c r="BW11" s="11">
        <f>BW10+1/24/4</f>
        <v>36892.010416666664</v>
      </c>
      <c r="BX11" s="9" t="str">
        <f t="shared" ref="BX11:BX74" ca="1" si="13">IF($BB11=2,TRUE,"")</f>
        <v/>
      </c>
      <c r="BY11" s="9" t="str">
        <f t="shared" ref="BY11:BY74" ca="1" si="14">IF($BC11=2,TRUE,"")</f>
        <v/>
      </c>
      <c r="BZ11" s="9" t="str">
        <f t="shared" ref="BZ11:BZ74" ca="1" si="15">IF($BD11=2,TRUE,"")</f>
        <v/>
      </c>
      <c r="CC11" s="9">
        <v>2</v>
      </c>
      <c r="CD11" s="11">
        <f>CD10+1/24/4</f>
        <v>36892.010416666664</v>
      </c>
      <c r="CE11" s="9" t="str">
        <f t="shared" ref="CE11:CE74" ca="1" si="16">IF($BB11=3,TRUE,"")</f>
        <v/>
      </c>
      <c r="CF11" s="9" t="str">
        <f t="shared" ref="CF11:CF74" ca="1" si="17">IF($BC11=3,TRUE,"")</f>
        <v/>
      </c>
      <c r="CG11" s="9" t="str">
        <f t="shared" ref="CG11:CG74" ca="1" si="18">IF($BD11=3,TRUE,"")</f>
        <v/>
      </c>
      <c r="CJ11" s="9">
        <v>2</v>
      </c>
      <c r="CK11" s="11" t="s">
        <v>109</v>
      </c>
      <c r="CL11" s="9">
        <f ca="1">COUNTIF(BJ14:BJ17,TRUE)/4</f>
        <v>1</v>
      </c>
      <c r="CM11" s="9">
        <f t="shared" ref="CM11:CN11" ca="1" si="19">COUNTIF(BK14:BK17,TRUE)/4</f>
        <v>1</v>
      </c>
      <c r="CN11" s="9">
        <f t="shared" ca="1" si="19"/>
        <v>1</v>
      </c>
      <c r="CQ11" s="9">
        <v>2</v>
      </c>
      <c r="CR11" s="11" t="s">
        <v>109</v>
      </c>
      <c r="CS11" s="9">
        <f ca="1">COUNTIF(BQ14:BQ17,TRUE)/4</f>
        <v>0</v>
      </c>
      <c r="CT11" s="9">
        <f t="shared" ref="CT11" ca="1" si="20">COUNTIF(BR14:BR17,TRUE)/4</f>
        <v>0</v>
      </c>
      <c r="CU11" s="9">
        <f t="shared" ref="CU11" ca="1" si="21">COUNTIF(BS14:BS17,TRUE)/4</f>
        <v>0</v>
      </c>
      <c r="CX11" s="9">
        <v>2</v>
      </c>
      <c r="CY11" s="11" t="s">
        <v>109</v>
      </c>
      <c r="CZ11" s="9">
        <f ca="1">COUNTIF(BX14:BX17,TRUE)/4</f>
        <v>0</v>
      </c>
      <c r="DA11" s="9">
        <f t="shared" ref="DA11" ca="1" si="22">COUNTIF(BY14:BY17,TRUE)/4</f>
        <v>0</v>
      </c>
      <c r="DB11" s="9">
        <f t="shared" ref="DB11" ca="1" si="23">COUNTIF(BZ14:BZ17,TRUE)/4</f>
        <v>0</v>
      </c>
      <c r="DE11" s="9">
        <v>2</v>
      </c>
      <c r="DF11" s="11" t="s">
        <v>109</v>
      </c>
      <c r="DG11" s="9">
        <f ca="1">COUNTIF(CE14:CE17,TRUE)/4</f>
        <v>0</v>
      </c>
      <c r="DH11" s="9">
        <f t="shared" ref="DH11" ca="1" si="24">COUNTIF(CF14:CF17,TRUE)/4</f>
        <v>0</v>
      </c>
      <c r="DI11" s="9">
        <f t="shared" ref="DI11" ca="1" si="25">COUNTIF(CG14:CG17,TRUE)/4</f>
        <v>0</v>
      </c>
    </row>
    <row r="12" spans="2:113" ht="16.5" customHeight="1">
      <c r="D12" s="16" t="s">
        <v>31</v>
      </c>
      <c r="E12" s="16" t="s">
        <v>53</v>
      </c>
      <c r="F12" s="16" t="s">
        <v>70</v>
      </c>
      <c r="G12" s="16" t="s">
        <v>73</v>
      </c>
      <c r="H12" s="16" t="s">
        <v>74</v>
      </c>
      <c r="I12" s="16"/>
      <c r="M12" s="16" t="s">
        <v>73</v>
      </c>
      <c r="N12" s="16" t="s">
        <v>74</v>
      </c>
      <c r="O12" s="16"/>
      <c r="P12" s="16"/>
      <c r="S12" s="16"/>
      <c r="T12" s="16">
        <v>1</v>
      </c>
      <c r="U12" s="16">
        <v>2</v>
      </c>
      <c r="V12" s="16"/>
      <c r="Y12" s="16" t="s">
        <v>160</v>
      </c>
      <c r="Z12" s="16"/>
      <c r="AB12" s="7" t="s">
        <v>92</v>
      </c>
      <c r="AK12" s="22">
        <v>3</v>
      </c>
      <c r="AL12" s="24" t="s">
        <v>111</v>
      </c>
      <c r="AM12" s="22" t="str">
        <f>IF(_type_of_Calc="時間",CL12+CS12+CZ12+DG12,"")</f>
        <v/>
      </c>
      <c r="AN12" s="22" t="str">
        <f>IF(_type_of_Calc="時間",CM12+CT12+DA12+DH12,"")</f>
        <v/>
      </c>
      <c r="AO12" s="22" t="str">
        <f>IF(_type_of_Calc="時間",CN12+CU12+DB12+DI12,"")</f>
        <v/>
      </c>
      <c r="AR12" s="22">
        <v>3</v>
      </c>
      <c r="AS12" s="24" t="s">
        <v>111</v>
      </c>
      <c r="AT12" s="22">
        <f ca="1">IF(_type_of_Calc="回数",CL39+CS39+CZ39+DG39,"")</f>
        <v>1.33</v>
      </c>
      <c r="AU12" s="22">
        <f ca="1">IF(_type_of_Calc="回数",CM39+CT39+DA39+DH39,"")</f>
        <v>1.33</v>
      </c>
      <c r="AV12" s="22">
        <f ca="1">IF(_type_of_Calc="回数",CN39+CU39+DB39+DI39,"")</f>
        <v>1.33</v>
      </c>
      <c r="AZ12" s="9">
        <v>3</v>
      </c>
      <c r="BA12" s="11">
        <f t="shared" ref="BA12:BA75" si="26">BA11+1/24/4</f>
        <v>36892.020833333328</v>
      </c>
      <c r="BB12" s="9" cm="1">
        <f t="array" aca="1" ref="BB12" ca="1">INDIRECT(ADDRESS(2+$AZ12,1+MATCH($AE$9,INDIRECT($AE$16&amp;"!$B$2:$R$2"),0),1,1,$AE$16))</f>
        <v>0</v>
      </c>
      <c r="BC12" s="9" cm="1">
        <f t="array" aca="1" ref="BC12" ca="1">INDIRECT(ADDRESS(2+$AZ12,1+MATCH($AE$9,INDIRECT($AE$17&amp;"!$B$2:$R$2"),0),1,1,$AE$17))</f>
        <v>0</v>
      </c>
      <c r="BD12" s="9" cm="1">
        <f t="array" aca="1" ref="BD12" ca="1">INDIRECT(ADDRESS(2+$AZ12,1+MATCH($AE$9,INDIRECT($AE$18&amp;"!$B$2:$R$2"),0),1,1,$AE$18))</f>
        <v>0</v>
      </c>
      <c r="BH12" s="9">
        <v>3</v>
      </c>
      <c r="BI12" s="11">
        <f t="shared" ref="BI12:BI75" si="27">BI11+1/24/4</f>
        <v>36892.020833333328</v>
      </c>
      <c r="BJ12" s="9" t="b">
        <f t="shared" ca="1" si="7"/>
        <v>1</v>
      </c>
      <c r="BK12" s="9" t="b">
        <f t="shared" ca="1" si="8"/>
        <v>1</v>
      </c>
      <c r="BL12" s="9" t="b">
        <f t="shared" ca="1" si="9"/>
        <v>1</v>
      </c>
      <c r="BO12" s="9">
        <v>3</v>
      </c>
      <c r="BP12" s="11">
        <f t="shared" ref="BP12:BP75" si="28">BP11+1/24/4</f>
        <v>36892.020833333328</v>
      </c>
      <c r="BQ12" s="9" t="str">
        <f t="shared" ca="1" si="10"/>
        <v/>
      </c>
      <c r="BR12" s="9" t="str">
        <f t="shared" ca="1" si="11"/>
        <v/>
      </c>
      <c r="BS12" s="9" t="str">
        <f t="shared" ca="1" si="12"/>
        <v/>
      </c>
      <c r="BV12" s="9">
        <v>3</v>
      </c>
      <c r="BW12" s="11">
        <f t="shared" ref="BW12:BW75" si="29">BW11+1/24/4</f>
        <v>36892.020833333328</v>
      </c>
      <c r="BX12" s="9" t="str">
        <f t="shared" ca="1" si="13"/>
        <v/>
      </c>
      <c r="BY12" s="9" t="str">
        <f t="shared" ca="1" si="14"/>
        <v/>
      </c>
      <c r="BZ12" s="9" t="str">
        <f t="shared" ca="1" si="15"/>
        <v/>
      </c>
      <c r="CC12" s="9">
        <v>3</v>
      </c>
      <c r="CD12" s="11">
        <f t="shared" ref="CD12:CD75" si="30">CD11+1/24/4</f>
        <v>36892.020833333328</v>
      </c>
      <c r="CE12" s="9" t="str">
        <f t="shared" ca="1" si="16"/>
        <v/>
      </c>
      <c r="CF12" s="9" t="str">
        <f t="shared" ca="1" si="17"/>
        <v/>
      </c>
      <c r="CG12" s="9" t="str">
        <f t="shared" ca="1" si="18"/>
        <v/>
      </c>
      <c r="CJ12" s="9">
        <v>3</v>
      </c>
      <c r="CK12" s="11" t="s">
        <v>111</v>
      </c>
      <c r="CL12" s="9">
        <f ca="1">COUNTIF(BJ18:BJ21,TRUE)/4</f>
        <v>1</v>
      </c>
      <c r="CM12" s="9">
        <f t="shared" ref="CM12:CN12" ca="1" si="31">COUNTIF(BK18:BK21,TRUE)/4</f>
        <v>1</v>
      </c>
      <c r="CN12" s="9">
        <f t="shared" ca="1" si="31"/>
        <v>1</v>
      </c>
      <c r="CQ12" s="9">
        <v>3</v>
      </c>
      <c r="CR12" s="11" t="s">
        <v>111</v>
      </c>
      <c r="CS12" s="9">
        <f ca="1">COUNTIF(BQ18:BQ21,TRUE)/4</f>
        <v>0</v>
      </c>
      <c r="CT12" s="9">
        <f t="shared" ref="CT12" ca="1" si="32">COUNTIF(BR18:BR21,TRUE)/4</f>
        <v>0</v>
      </c>
      <c r="CU12" s="9">
        <f t="shared" ref="CU12" ca="1" si="33">COUNTIF(BS18:BS21,TRUE)/4</f>
        <v>0</v>
      </c>
      <c r="CX12" s="9">
        <v>3</v>
      </c>
      <c r="CY12" s="11" t="s">
        <v>111</v>
      </c>
      <c r="CZ12" s="9">
        <f ca="1">COUNTIF(BX18:BX21,TRUE)/4</f>
        <v>0</v>
      </c>
      <c r="DA12" s="9">
        <f t="shared" ref="DA12" ca="1" si="34">COUNTIF(BY18:BY21,TRUE)/4</f>
        <v>0</v>
      </c>
      <c r="DB12" s="9">
        <f t="shared" ref="DB12" ca="1" si="35">COUNTIF(BZ18:BZ21,TRUE)/4</f>
        <v>0</v>
      </c>
      <c r="DE12" s="9">
        <v>3</v>
      </c>
      <c r="DF12" s="11" t="s">
        <v>111</v>
      </c>
      <c r="DG12" s="9">
        <f ca="1">COUNTIF(CE18:CE21,TRUE)/4</f>
        <v>0</v>
      </c>
      <c r="DH12" s="9">
        <f t="shared" ref="DH12" ca="1" si="36">COUNTIF(CF18:CF21,TRUE)/4</f>
        <v>0</v>
      </c>
      <c r="DI12" s="9">
        <f t="shared" ref="DI12" ca="1" si="37">COUNTIF(CG18:CG21,TRUE)/4</f>
        <v>0</v>
      </c>
    </row>
    <row r="13" spans="2:113" ht="16.5" customHeight="1">
      <c r="D13" s="16" t="s">
        <v>32</v>
      </c>
      <c r="E13" s="16" t="s">
        <v>144</v>
      </c>
      <c r="F13" s="16"/>
      <c r="G13" s="16" t="s">
        <v>75</v>
      </c>
      <c r="H13" s="16" t="s">
        <v>76</v>
      </c>
      <c r="I13" s="16"/>
      <c r="M13" s="16" t="s">
        <v>75</v>
      </c>
      <c r="N13" s="16" t="s">
        <v>76</v>
      </c>
      <c r="O13" s="16"/>
      <c r="P13" s="16"/>
      <c r="S13" s="16"/>
      <c r="T13" s="16">
        <v>1</v>
      </c>
      <c r="U13" s="16">
        <v>2</v>
      </c>
      <c r="V13" s="16"/>
      <c r="Y13" s="16" t="s">
        <v>160</v>
      </c>
      <c r="Z13" s="16"/>
      <c r="AC13" s="7" t="s">
        <v>148</v>
      </c>
      <c r="AD13" s="7" t="s">
        <v>88</v>
      </c>
      <c r="AE13" s="28" t="str">
        <f>VLOOKUP(_homeApplicance_ID,D9:Z24,22,FALSE)</f>
        <v>回数</v>
      </c>
      <c r="AK13" s="22">
        <v>4</v>
      </c>
      <c r="AL13" s="24" t="s">
        <v>113</v>
      </c>
      <c r="AM13" s="22" t="str">
        <f>IF(_type_of_Calc="時間",CL13+CS13+CZ13+DG13,"")</f>
        <v/>
      </c>
      <c r="AN13" s="22" t="str">
        <f>IF(_type_of_Calc="時間",CM13+CT13+DA13+DH13,"")</f>
        <v/>
      </c>
      <c r="AO13" s="22" t="str">
        <f>IF(_type_of_Calc="時間",CN13+CU13+DB13+DI13,"")</f>
        <v/>
      </c>
      <c r="AR13" s="22">
        <v>4</v>
      </c>
      <c r="AS13" s="24" t="s">
        <v>113</v>
      </c>
      <c r="AT13" s="22">
        <f ca="1">IF(_type_of_Calc="回数",CL40+CS40+CZ40+DG40,"")</f>
        <v>1.33</v>
      </c>
      <c r="AU13" s="22">
        <f ca="1">IF(_type_of_Calc="回数",CM40+CT40+DA40+DH40,"")</f>
        <v>1.33</v>
      </c>
      <c r="AV13" s="22">
        <f ca="1">IF(_type_of_Calc="回数",CN40+CU40+DB40+DI40,"")</f>
        <v>1.33</v>
      </c>
      <c r="AZ13" s="9">
        <v>4</v>
      </c>
      <c r="BA13" s="11">
        <f t="shared" si="26"/>
        <v>36892.031249999993</v>
      </c>
      <c r="BB13" s="9" cm="1">
        <f t="array" aca="1" ref="BB13" ca="1">INDIRECT(ADDRESS(2+$AZ13,1+MATCH($AE$9,INDIRECT($AE$16&amp;"!$B$2:$R$2"),0),1,1,$AE$16))</f>
        <v>0</v>
      </c>
      <c r="BC13" s="9" cm="1">
        <f t="array" aca="1" ref="BC13" ca="1">INDIRECT(ADDRESS(2+$AZ13,1+MATCH($AE$9,INDIRECT($AE$17&amp;"!$B$2:$R$2"),0),1,1,$AE$17))</f>
        <v>0</v>
      </c>
      <c r="BD13" s="9" cm="1">
        <f t="array" aca="1" ref="BD13" ca="1">INDIRECT(ADDRESS(2+$AZ13,1+MATCH($AE$9,INDIRECT($AE$18&amp;"!$B$2:$R$2"),0),1,1,$AE$18))</f>
        <v>0</v>
      </c>
      <c r="BH13" s="9">
        <v>4</v>
      </c>
      <c r="BI13" s="11">
        <f t="shared" si="27"/>
        <v>36892.031249999993</v>
      </c>
      <c r="BJ13" s="9" t="b">
        <f t="shared" ca="1" si="7"/>
        <v>1</v>
      </c>
      <c r="BK13" s="9" t="b">
        <f t="shared" ca="1" si="8"/>
        <v>1</v>
      </c>
      <c r="BL13" s="9" t="b">
        <f t="shared" ca="1" si="9"/>
        <v>1</v>
      </c>
      <c r="BO13" s="9">
        <v>4</v>
      </c>
      <c r="BP13" s="11">
        <f t="shared" si="28"/>
        <v>36892.031249999993</v>
      </c>
      <c r="BQ13" s="9" t="str">
        <f t="shared" ca="1" si="10"/>
        <v/>
      </c>
      <c r="BR13" s="9" t="str">
        <f t="shared" ca="1" si="11"/>
        <v/>
      </c>
      <c r="BS13" s="9" t="str">
        <f t="shared" ca="1" si="12"/>
        <v/>
      </c>
      <c r="BV13" s="9">
        <v>4</v>
      </c>
      <c r="BW13" s="11">
        <f t="shared" si="29"/>
        <v>36892.031249999993</v>
      </c>
      <c r="BX13" s="9" t="str">
        <f t="shared" ca="1" si="13"/>
        <v/>
      </c>
      <c r="BY13" s="9" t="str">
        <f t="shared" ca="1" si="14"/>
        <v/>
      </c>
      <c r="BZ13" s="9" t="str">
        <f t="shared" ca="1" si="15"/>
        <v/>
      </c>
      <c r="CC13" s="9">
        <v>4</v>
      </c>
      <c r="CD13" s="11">
        <f t="shared" si="30"/>
        <v>36892.031249999993</v>
      </c>
      <c r="CE13" s="9" t="str">
        <f t="shared" ca="1" si="16"/>
        <v/>
      </c>
      <c r="CF13" s="9" t="str">
        <f t="shared" ca="1" si="17"/>
        <v/>
      </c>
      <c r="CG13" s="9" t="str">
        <f t="shared" ca="1" si="18"/>
        <v/>
      </c>
      <c r="CJ13" s="9">
        <v>4</v>
      </c>
      <c r="CK13" s="11" t="s">
        <v>113</v>
      </c>
      <c r="CL13" s="9">
        <f ca="1">COUNTIF(BJ22:BJ25,TRUE)/4</f>
        <v>1</v>
      </c>
      <c r="CM13" s="9">
        <f t="shared" ref="CM13:CN13" ca="1" si="38">COUNTIF(BK22:BK25,TRUE)/4</f>
        <v>1</v>
      </c>
      <c r="CN13" s="9">
        <f t="shared" ca="1" si="38"/>
        <v>1</v>
      </c>
      <c r="CQ13" s="9">
        <v>4</v>
      </c>
      <c r="CR13" s="11" t="s">
        <v>113</v>
      </c>
      <c r="CS13" s="9">
        <f ca="1">COUNTIF(BQ22:BQ25,TRUE)/4</f>
        <v>0</v>
      </c>
      <c r="CT13" s="9">
        <f t="shared" ref="CT13" ca="1" si="39">COUNTIF(BR22:BR25,TRUE)/4</f>
        <v>0</v>
      </c>
      <c r="CU13" s="9">
        <f t="shared" ref="CU13" ca="1" si="40">COUNTIF(BS22:BS25,TRUE)/4</f>
        <v>0</v>
      </c>
      <c r="CX13" s="9">
        <v>4</v>
      </c>
      <c r="CY13" s="11" t="s">
        <v>113</v>
      </c>
      <c r="CZ13" s="9">
        <f ca="1">COUNTIF(BX22:BX25,TRUE)/4</f>
        <v>0</v>
      </c>
      <c r="DA13" s="9">
        <f t="shared" ref="DA13" ca="1" si="41">COUNTIF(BY22:BY25,TRUE)/4</f>
        <v>0</v>
      </c>
      <c r="DB13" s="9">
        <f t="shared" ref="DB13" ca="1" si="42">COUNTIF(BZ22:BZ25,TRUE)/4</f>
        <v>0</v>
      </c>
      <c r="DE13" s="9">
        <v>4</v>
      </c>
      <c r="DF13" s="11" t="s">
        <v>113</v>
      </c>
      <c r="DG13" s="9">
        <f ca="1">COUNTIF(CE22:CE25,TRUE)/4</f>
        <v>0</v>
      </c>
      <c r="DH13" s="9">
        <f t="shared" ref="DH13" ca="1" si="43">COUNTIF(CF22:CF25,TRUE)/4</f>
        <v>0</v>
      </c>
      <c r="DI13" s="9">
        <f t="shared" ref="DI13" ca="1" si="44">COUNTIF(CG22:CG25,TRUE)/4</f>
        <v>0</v>
      </c>
    </row>
    <row r="14" spans="2:113" ht="16.5" customHeight="1">
      <c r="D14" s="16" t="s">
        <v>33</v>
      </c>
      <c r="E14" s="16" t="s">
        <v>54</v>
      </c>
      <c r="F14" s="16" t="s">
        <v>70</v>
      </c>
      <c r="G14" s="16" t="s">
        <v>77</v>
      </c>
      <c r="H14" s="16"/>
      <c r="I14" s="16"/>
      <c r="M14" s="16" t="s">
        <v>77</v>
      </c>
      <c r="N14" s="16"/>
      <c r="O14" s="16"/>
      <c r="P14" s="16"/>
      <c r="S14" s="16"/>
      <c r="T14" s="16">
        <v>1</v>
      </c>
      <c r="U14" s="16"/>
      <c r="V14" s="16"/>
      <c r="Y14" s="16" t="s">
        <v>160</v>
      </c>
      <c r="Z14" s="16"/>
      <c r="AC14" s="7" t="s">
        <v>164</v>
      </c>
      <c r="AD14" s="7" t="s">
        <v>88</v>
      </c>
      <c r="AE14" s="28">
        <f>VLOOKUP(_homeApplicance_ID,D9:Z24,23,FALSE)</f>
        <v>3</v>
      </c>
      <c r="AF14" s="7" t="s">
        <v>165</v>
      </c>
      <c r="AK14" s="22">
        <v>5</v>
      </c>
      <c r="AL14" s="24" t="s">
        <v>115</v>
      </c>
      <c r="AM14" s="22" t="str">
        <f>IF(_type_of_Calc="時間",CL14+CS14+CZ14+DG14,"")</f>
        <v/>
      </c>
      <c r="AN14" s="22" t="str">
        <f>IF(_type_of_Calc="時間",CM14+CT14+DA14+DH14,"")</f>
        <v/>
      </c>
      <c r="AO14" s="22" t="str">
        <f>IF(_type_of_Calc="時間",CN14+CU14+DB14+DI14,"")</f>
        <v/>
      </c>
      <c r="AR14" s="22">
        <v>5</v>
      </c>
      <c r="AS14" s="24" t="s">
        <v>115</v>
      </c>
      <c r="AT14" s="22">
        <f ca="1">IF(_type_of_Calc="回数",CL41+CS41+CZ41+DG41,"")</f>
        <v>1.33</v>
      </c>
      <c r="AU14" s="22">
        <f ca="1">IF(_type_of_Calc="回数",CM41+CT41+DA41+DH41,"")</f>
        <v>1.33</v>
      </c>
      <c r="AV14" s="22">
        <f ca="1">IF(_type_of_Calc="回数",CN41+CU41+DB41+DI41,"")</f>
        <v>1.33</v>
      </c>
      <c r="AZ14" s="9">
        <v>5</v>
      </c>
      <c r="BA14" s="11">
        <f t="shared" si="26"/>
        <v>36892.041666666657</v>
      </c>
      <c r="BB14" s="9" cm="1">
        <f t="array" aca="1" ref="BB14" ca="1">INDIRECT(ADDRESS(2+$AZ14,1+MATCH($AE$9,INDIRECT($AE$16&amp;"!$B$2:$R$2"),0),1,1,$AE$16))</f>
        <v>0</v>
      </c>
      <c r="BC14" s="9" cm="1">
        <f t="array" aca="1" ref="BC14" ca="1">INDIRECT(ADDRESS(2+$AZ14,1+MATCH($AE$9,INDIRECT($AE$17&amp;"!$B$2:$R$2"),0),1,1,$AE$17))</f>
        <v>0</v>
      </c>
      <c r="BD14" s="9" cm="1">
        <f t="array" aca="1" ref="BD14" ca="1">INDIRECT(ADDRESS(2+$AZ14,1+MATCH($AE$9,INDIRECT($AE$18&amp;"!$B$2:$R$2"),0),1,1,$AE$18))</f>
        <v>0</v>
      </c>
      <c r="BH14" s="9">
        <v>5</v>
      </c>
      <c r="BI14" s="11">
        <f t="shared" si="27"/>
        <v>36892.041666666657</v>
      </c>
      <c r="BJ14" s="9" t="b">
        <f t="shared" ca="1" si="7"/>
        <v>1</v>
      </c>
      <c r="BK14" s="9" t="b">
        <f t="shared" ca="1" si="8"/>
        <v>1</v>
      </c>
      <c r="BL14" s="9" t="b">
        <f t="shared" ca="1" si="9"/>
        <v>1</v>
      </c>
      <c r="BO14" s="9">
        <v>5</v>
      </c>
      <c r="BP14" s="11">
        <f t="shared" si="28"/>
        <v>36892.041666666657</v>
      </c>
      <c r="BQ14" s="9" t="str">
        <f t="shared" ca="1" si="10"/>
        <v/>
      </c>
      <c r="BR14" s="9" t="str">
        <f t="shared" ca="1" si="11"/>
        <v/>
      </c>
      <c r="BS14" s="9" t="str">
        <f t="shared" ca="1" si="12"/>
        <v/>
      </c>
      <c r="BV14" s="9">
        <v>5</v>
      </c>
      <c r="BW14" s="11">
        <f t="shared" si="29"/>
        <v>36892.041666666657</v>
      </c>
      <c r="BX14" s="9" t="str">
        <f t="shared" ca="1" si="13"/>
        <v/>
      </c>
      <c r="BY14" s="9" t="str">
        <f t="shared" ca="1" si="14"/>
        <v/>
      </c>
      <c r="BZ14" s="9" t="str">
        <f t="shared" ca="1" si="15"/>
        <v/>
      </c>
      <c r="CC14" s="9">
        <v>5</v>
      </c>
      <c r="CD14" s="11">
        <f t="shared" si="30"/>
        <v>36892.041666666657</v>
      </c>
      <c r="CE14" s="9" t="str">
        <f t="shared" ca="1" si="16"/>
        <v/>
      </c>
      <c r="CF14" s="9" t="str">
        <f t="shared" ca="1" si="17"/>
        <v/>
      </c>
      <c r="CG14" s="9" t="str">
        <f t="shared" ca="1" si="18"/>
        <v/>
      </c>
      <c r="CJ14" s="9">
        <v>5</v>
      </c>
      <c r="CK14" s="11" t="s">
        <v>115</v>
      </c>
      <c r="CL14" s="9">
        <f ca="1">COUNTIF(BJ26:BJ29,TRUE)/4</f>
        <v>1</v>
      </c>
      <c r="CM14" s="9">
        <f t="shared" ref="CM14:CN14" ca="1" si="45">COUNTIF(BK26:BK29,TRUE)/4</f>
        <v>1</v>
      </c>
      <c r="CN14" s="9">
        <f t="shared" ca="1" si="45"/>
        <v>1</v>
      </c>
      <c r="CQ14" s="9">
        <v>5</v>
      </c>
      <c r="CR14" s="11" t="s">
        <v>115</v>
      </c>
      <c r="CS14" s="9">
        <f ca="1">COUNTIF(BQ26:BQ29,TRUE)/4</f>
        <v>0</v>
      </c>
      <c r="CT14" s="9">
        <f t="shared" ref="CT14" ca="1" si="46">COUNTIF(BR26:BR29,TRUE)/4</f>
        <v>0</v>
      </c>
      <c r="CU14" s="9">
        <f t="shared" ref="CU14" ca="1" si="47">COUNTIF(BS26:BS29,TRUE)/4</f>
        <v>0</v>
      </c>
      <c r="CX14" s="9">
        <v>5</v>
      </c>
      <c r="CY14" s="11" t="s">
        <v>115</v>
      </c>
      <c r="CZ14" s="9">
        <f ca="1">COUNTIF(BX26:BX29,TRUE)/4</f>
        <v>0</v>
      </c>
      <c r="DA14" s="9">
        <f t="shared" ref="DA14" ca="1" si="48">COUNTIF(BY26:BY29,TRUE)/4</f>
        <v>0</v>
      </c>
      <c r="DB14" s="9">
        <f t="shared" ref="DB14" ca="1" si="49">COUNTIF(BZ26:BZ29,TRUE)/4</f>
        <v>0</v>
      </c>
      <c r="DE14" s="9">
        <v>5</v>
      </c>
      <c r="DF14" s="11" t="s">
        <v>115</v>
      </c>
      <c r="DG14" s="9">
        <f ca="1">COUNTIF(CE26:CE29,TRUE)/4</f>
        <v>0</v>
      </c>
      <c r="DH14" s="9">
        <f t="shared" ref="DH14" ca="1" si="50">COUNTIF(CF26:CF29,TRUE)/4</f>
        <v>0</v>
      </c>
      <c r="DI14" s="9">
        <f t="shared" ref="DI14" ca="1" si="51">COUNTIF(CG26:CG29,TRUE)/4</f>
        <v>0</v>
      </c>
    </row>
    <row r="15" spans="2:113" ht="16.5" customHeight="1">
      <c r="D15" s="16" t="s">
        <v>34</v>
      </c>
      <c r="E15" s="16" t="s">
        <v>78</v>
      </c>
      <c r="F15" s="16" t="s">
        <v>75</v>
      </c>
      <c r="G15" s="16" t="s">
        <v>79</v>
      </c>
      <c r="H15" s="16"/>
      <c r="I15" s="16"/>
      <c r="M15" s="16" t="s">
        <v>75</v>
      </c>
      <c r="N15" s="16" t="s">
        <v>79</v>
      </c>
      <c r="O15" s="16"/>
      <c r="P15" s="16"/>
      <c r="S15" s="16">
        <v>1</v>
      </c>
      <c r="T15" s="16">
        <v>2</v>
      </c>
      <c r="U15" s="16"/>
      <c r="V15" s="16"/>
      <c r="Y15" s="16" t="s">
        <v>160</v>
      </c>
      <c r="Z15" s="16"/>
      <c r="AC15" s="7" t="s">
        <v>98</v>
      </c>
      <c r="AD15" s="7" t="s">
        <v>88</v>
      </c>
      <c r="AE15" s="7" t="str">
        <f>VLOOKUP(AE9,D9:E24,2,FALSE)</f>
        <v>洗濯機</v>
      </c>
      <c r="AK15" s="22">
        <v>6</v>
      </c>
      <c r="AL15" s="24" t="s">
        <v>117</v>
      </c>
      <c r="AM15" s="22" t="str">
        <f>IF(_type_of_Calc="時間",CL15+CS15+CZ15+DG15,"")</f>
        <v/>
      </c>
      <c r="AN15" s="22" t="str">
        <f>IF(_type_of_Calc="時間",CM15+CT15+DA15+DH15,"")</f>
        <v/>
      </c>
      <c r="AO15" s="22" t="str">
        <f>IF(_type_of_Calc="時間",CN15+CU15+DB15+DI15,"")</f>
        <v/>
      </c>
      <c r="AR15" s="22">
        <v>6</v>
      </c>
      <c r="AS15" s="24" t="s">
        <v>117</v>
      </c>
      <c r="AT15" s="22">
        <f ca="1">IF(_type_of_Calc="回数",CL42+CS42+CZ42+DG42,"")</f>
        <v>1.33</v>
      </c>
      <c r="AU15" s="22">
        <f ca="1">IF(_type_of_Calc="回数",CM42+CT42+DA42+DH42,"")</f>
        <v>1.33</v>
      </c>
      <c r="AV15" s="22">
        <f ca="1">IF(_type_of_Calc="回数",CN42+CU42+DB42+DI42,"")</f>
        <v>1.33</v>
      </c>
      <c r="AZ15" s="9">
        <v>6</v>
      </c>
      <c r="BA15" s="11">
        <f t="shared" si="26"/>
        <v>36892.052083333321</v>
      </c>
      <c r="BB15" s="9" cm="1">
        <f t="array" aca="1" ref="BB15" ca="1">INDIRECT(ADDRESS(2+$AZ15,1+MATCH($AE$9,INDIRECT($AE$16&amp;"!$B$2:$R$2"),0),1,1,$AE$16))</f>
        <v>0</v>
      </c>
      <c r="BC15" s="9" cm="1">
        <f t="array" aca="1" ref="BC15" ca="1">INDIRECT(ADDRESS(2+$AZ15,1+MATCH($AE$9,INDIRECT($AE$17&amp;"!$B$2:$R$2"),0),1,1,$AE$17))</f>
        <v>0</v>
      </c>
      <c r="BD15" s="9" cm="1">
        <f t="array" aca="1" ref="BD15" ca="1">INDIRECT(ADDRESS(2+$AZ15,1+MATCH($AE$9,INDIRECT($AE$18&amp;"!$B$2:$R$2"),0),1,1,$AE$18))</f>
        <v>0</v>
      </c>
      <c r="BH15" s="9">
        <v>6</v>
      </c>
      <c r="BI15" s="11">
        <f t="shared" si="27"/>
        <v>36892.052083333321</v>
      </c>
      <c r="BJ15" s="9" t="b">
        <f t="shared" ca="1" si="7"/>
        <v>1</v>
      </c>
      <c r="BK15" s="9" t="b">
        <f t="shared" ca="1" si="8"/>
        <v>1</v>
      </c>
      <c r="BL15" s="9" t="b">
        <f t="shared" ca="1" si="9"/>
        <v>1</v>
      </c>
      <c r="BO15" s="9">
        <v>6</v>
      </c>
      <c r="BP15" s="11">
        <f t="shared" si="28"/>
        <v>36892.052083333321</v>
      </c>
      <c r="BQ15" s="9" t="str">
        <f t="shared" ca="1" si="10"/>
        <v/>
      </c>
      <c r="BR15" s="9" t="str">
        <f t="shared" ca="1" si="11"/>
        <v/>
      </c>
      <c r="BS15" s="9" t="str">
        <f t="shared" ca="1" si="12"/>
        <v/>
      </c>
      <c r="BV15" s="9">
        <v>6</v>
      </c>
      <c r="BW15" s="11">
        <f t="shared" si="29"/>
        <v>36892.052083333321</v>
      </c>
      <c r="BX15" s="9" t="str">
        <f t="shared" ca="1" si="13"/>
        <v/>
      </c>
      <c r="BY15" s="9" t="str">
        <f t="shared" ca="1" si="14"/>
        <v/>
      </c>
      <c r="BZ15" s="9" t="str">
        <f t="shared" ca="1" si="15"/>
        <v/>
      </c>
      <c r="CC15" s="9">
        <v>6</v>
      </c>
      <c r="CD15" s="11">
        <f t="shared" si="30"/>
        <v>36892.052083333321</v>
      </c>
      <c r="CE15" s="9" t="str">
        <f t="shared" ca="1" si="16"/>
        <v/>
      </c>
      <c r="CF15" s="9" t="str">
        <f t="shared" ca="1" si="17"/>
        <v/>
      </c>
      <c r="CG15" s="9" t="str">
        <f t="shared" ca="1" si="18"/>
        <v/>
      </c>
      <c r="CJ15" s="9">
        <v>6</v>
      </c>
      <c r="CK15" s="11" t="s">
        <v>117</v>
      </c>
      <c r="CL15" s="9">
        <f ca="1">COUNTIF(BJ30:BJ33,TRUE)/4</f>
        <v>1</v>
      </c>
      <c r="CM15" s="9">
        <f t="shared" ref="CM15:CN15" ca="1" si="52">COUNTIF(BK30:BK33,TRUE)/4</f>
        <v>1</v>
      </c>
      <c r="CN15" s="9">
        <f t="shared" ca="1" si="52"/>
        <v>1</v>
      </c>
      <c r="CQ15" s="9">
        <v>6</v>
      </c>
      <c r="CR15" s="11" t="s">
        <v>117</v>
      </c>
      <c r="CS15" s="9">
        <f ca="1">COUNTIF(BQ30:BQ33,TRUE)/4</f>
        <v>0</v>
      </c>
      <c r="CT15" s="9">
        <f t="shared" ref="CT15" ca="1" si="53">COUNTIF(BR30:BR33,TRUE)/4</f>
        <v>0</v>
      </c>
      <c r="CU15" s="9">
        <f t="shared" ref="CU15" ca="1" si="54">COUNTIF(BS30:BS33,TRUE)/4</f>
        <v>0</v>
      </c>
      <c r="CX15" s="9">
        <v>6</v>
      </c>
      <c r="CY15" s="11" t="s">
        <v>117</v>
      </c>
      <c r="CZ15" s="9">
        <f ca="1">COUNTIF(BX30:BX33,TRUE)/4</f>
        <v>0</v>
      </c>
      <c r="DA15" s="9">
        <f t="shared" ref="DA15" ca="1" si="55">COUNTIF(BY30:BY33,TRUE)/4</f>
        <v>0</v>
      </c>
      <c r="DB15" s="9">
        <f t="shared" ref="DB15" ca="1" si="56">COUNTIF(BZ30:BZ33,TRUE)/4</f>
        <v>0</v>
      </c>
      <c r="DE15" s="9">
        <v>6</v>
      </c>
      <c r="DF15" s="11" t="s">
        <v>117</v>
      </c>
      <c r="DG15" s="9">
        <f ca="1">COUNTIF(CE30:CE33,TRUE)/4</f>
        <v>0</v>
      </c>
      <c r="DH15" s="9">
        <f t="shared" ref="DH15" ca="1" si="57">COUNTIF(CF30:CF33,TRUE)/4</f>
        <v>0</v>
      </c>
      <c r="DI15" s="9">
        <f t="shared" ref="DI15" ca="1" si="58">COUNTIF(CG30:CG33,TRUE)/4</f>
        <v>0</v>
      </c>
    </row>
    <row r="16" spans="2:113" ht="16.5" customHeight="1">
      <c r="D16" s="16" t="s">
        <v>35</v>
      </c>
      <c r="E16" s="16" t="s">
        <v>55</v>
      </c>
      <c r="F16" s="16" t="s">
        <v>70</v>
      </c>
      <c r="G16" s="16" t="s">
        <v>77</v>
      </c>
      <c r="H16" s="16"/>
      <c r="I16" s="16"/>
      <c r="M16" s="16" t="s">
        <v>77</v>
      </c>
      <c r="N16" s="16"/>
      <c r="O16" s="16"/>
      <c r="P16" s="16"/>
      <c r="S16" s="16"/>
      <c r="T16" s="16">
        <v>1</v>
      </c>
      <c r="U16" s="16"/>
      <c r="V16" s="16"/>
      <c r="Y16" s="16" t="s">
        <v>160</v>
      </c>
      <c r="Z16" s="16"/>
      <c r="AC16" s="7" t="s">
        <v>93</v>
      </c>
      <c r="AD16" s="7" t="s">
        <v>88</v>
      </c>
      <c r="AE16" s="17" t="str">
        <f>"DB_"&amp;AE10&amp;"平"</f>
        <v>DB_1平</v>
      </c>
      <c r="AK16" s="22">
        <v>7</v>
      </c>
      <c r="AL16" s="24" t="s">
        <v>119</v>
      </c>
      <c r="AM16" s="22" t="str">
        <f>IF(_type_of_Calc="時間",CL16+CS16+CZ16+DG16,"")</f>
        <v/>
      </c>
      <c r="AN16" s="22" t="str">
        <f>IF(_type_of_Calc="時間",CM16+CT16+DA16+DH16,"")</f>
        <v/>
      </c>
      <c r="AO16" s="22" t="str">
        <f>IF(_type_of_Calc="時間",CN16+CU16+DB16+DI16,"")</f>
        <v/>
      </c>
      <c r="AR16" s="22">
        <v>7</v>
      </c>
      <c r="AS16" s="24" t="s">
        <v>119</v>
      </c>
      <c r="AT16" s="22">
        <f ca="1">IF(_type_of_Calc="回数",CL43+CS43+CZ43+DG43,"")</f>
        <v>1.33</v>
      </c>
      <c r="AU16" s="22">
        <f ca="1">IF(_type_of_Calc="回数",CM43+CT43+DA43+DH43,"")</f>
        <v>1.33</v>
      </c>
      <c r="AV16" s="22">
        <f ca="1">IF(_type_of_Calc="回数",CN43+CU43+DB43+DI43,"")</f>
        <v>1.33</v>
      </c>
      <c r="AZ16" s="9">
        <v>7</v>
      </c>
      <c r="BA16" s="11">
        <f t="shared" si="26"/>
        <v>36892.062499999985</v>
      </c>
      <c r="BB16" s="9" cm="1">
        <f t="array" aca="1" ref="BB16" ca="1">INDIRECT(ADDRESS(2+$AZ16,1+MATCH($AE$9,INDIRECT($AE$16&amp;"!$B$2:$R$2"),0),1,1,$AE$16))</f>
        <v>0</v>
      </c>
      <c r="BC16" s="9" cm="1">
        <f t="array" aca="1" ref="BC16" ca="1">INDIRECT(ADDRESS(2+$AZ16,1+MATCH($AE$9,INDIRECT($AE$17&amp;"!$B$2:$R$2"),0),1,1,$AE$17))</f>
        <v>0</v>
      </c>
      <c r="BD16" s="9" cm="1">
        <f t="array" aca="1" ref="BD16" ca="1">INDIRECT(ADDRESS(2+$AZ16,1+MATCH($AE$9,INDIRECT($AE$18&amp;"!$B$2:$R$2"),0),1,1,$AE$18))</f>
        <v>0</v>
      </c>
      <c r="BH16" s="9">
        <v>7</v>
      </c>
      <c r="BI16" s="11">
        <f t="shared" si="27"/>
        <v>36892.062499999985</v>
      </c>
      <c r="BJ16" s="9" t="b">
        <f t="shared" ca="1" si="7"/>
        <v>1</v>
      </c>
      <c r="BK16" s="9" t="b">
        <f t="shared" ca="1" si="8"/>
        <v>1</v>
      </c>
      <c r="BL16" s="9" t="b">
        <f t="shared" ca="1" si="9"/>
        <v>1</v>
      </c>
      <c r="BO16" s="9">
        <v>7</v>
      </c>
      <c r="BP16" s="11">
        <f t="shared" si="28"/>
        <v>36892.062499999985</v>
      </c>
      <c r="BQ16" s="9" t="str">
        <f t="shared" ca="1" si="10"/>
        <v/>
      </c>
      <c r="BR16" s="9" t="str">
        <f t="shared" ca="1" si="11"/>
        <v/>
      </c>
      <c r="BS16" s="9" t="str">
        <f t="shared" ca="1" si="12"/>
        <v/>
      </c>
      <c r="BV16" s="9">
        <v>7</v>
      </c>
      <c r="BW16" s="11">
        <f t="shared" si="29"/>
        <v>36892.062499999985</v>
      </c>
      <c r="BX16" s="9" t="str">
        <f t="shared" ca="1" si="13"/>
        <v/>
      </c>
      <c r="BY16" s="9" t="str">
        <f t="shared" ca="1" si="14"/>
        <v/>
      </c>
      <c r="BZ16" s="9" t="str">
        <f t="shared" ca="1" si="15"/>
        <v/>
      </c>
      <c r="CC16" s="9">
        <v>7</v>
      </c>
      <c r="CD16" s="11">
        <f t="shared" si="30"/>
        <v>36892.062499999985</v>
      </c>
      <c r="CE16" s="9" t="str">
        <f t="shared" ca="1" si="16"/>
        <v/>
      </c>
      <c r="CF16" s="9" t="str">
        <f t="shared" ca="1" si="17"/>
        <v/>
      </c>
      <c r="CG16" s="9" t="str">
        <f t="shared" ca="1" si="18"/>
        <v/>
      </c>
      <c r="CJ16" s="9">
        <v>7</v>
      </c>
      <c r="CK16" s="11" t="s">
        <v>119</v>
      </c>
      <c r="CL16" s="9">
        <f ca="1">COUNTIF(BJ34:BJ37,TRUE)/4</f>
        <v>1</v>
      </c>
      <c r="CM16" s="9">
        <f t="shared" ref="CM16:CN16" ca="1" si="59">COUNTIF(BK34:BK37,TRUE)/4</f>
        <v>1</v>
      </c>
      <c r="CN16" s="9">
        <f t="shared" ca="1" si="59"/>
        <v>1</v>
      </c>
      <c r="CQ16" s="9">
        <v>7</v>
      </c>
      <c r="CR16" s="11" t="s">
        <v>119</v>
      </c>
      <c r="CS16" s="9">
        <f ca="1">COUNTIF(BQ34:BQ37,TRUE)/4</f>
        <v>0</v>
      </c>
      <c r="CT16" s="9">
        <f t="shared" ref="CT16" ca="1" si="60">COUNTIF(BR34:BR37,TRUE)/4</f>
        <v>0</v>
      </c>
      <c r="CU16" s="9">
        <f t="shared" ref="CU16" ca="1" si="61">COUNTIF(BS34:BS37,TRUE)/4</f>
        <v>0</v>
      </c>
      <c r="CX16" s="9">
        <v>7</v>
      </c>
      <c r="CY16" s="11" t="s">
        <v>119</v>
      </c>
      <c r="CZ16" s="9">
        <f ca="1">COUNTIF(BX34:BX37,TRUE)/4</f>
        <v>0</v>
      </c>
      <c r="DA16" s="9">
        <f t="shared" ref="DA16" ca="1" si="62">COUNTIF(BY34:BY37,TRUE)/4</f>
        <v>0</v>
      </c>
      <c r="DB16" s="9">
        <f t="shared" ref="DB16" ca="1" si="63">COUNTIF(BZ34:BZ37,TRUE)/4</f>
        <v>0</v>
      </c>
      <c r="DE16" s="9">
        <v>7</v>
      </c>
      <c r="DF16" s="11" t="s">
        <v>119</v>
      </c>
      <c r="DG16" s="9">
        <f ca="1">COUNTIF(CE34:CE37,TRUE)/4</f>
        <v>0</v>
      </c>
      <c r="DH16" s="9">
        <f t="shared" ref="DH16" ca="1" si="64">COUNTIF(CF34:CF37,TRUE)/4</f>
        <v>0</v>
      </c>
      <c r="DI16" s="9">
        <f t="shared" ref="DI16" ca="1" si="65">COUNTIF(CG34:CG37,TRUE)/4</f>
        <v>0</v>
      </c>
    </row>
    <row r="17" spans="4:113" ht="16.5" customHeight="1">
      <c r="D17" s="16" t="s">
        <v>36</v>
      </c>
      <c r="E17" s="16" t="s">
        <v>56</v>
      </c>
      <c r="F17" s="16" t="s">
        <v>70</v>
      </c>
      <c r="G17" s="16" t="s">
        <v>77</v>
      </c>
      <c r="H17" s="16"/>
      <c r="I17" s="16"/>
      <c r="M17" s="16" t="s">
        <v>77</v>
      </c>
      <c r="N17" s="16"/>
      <c r="O17" s="16"/>
      <c r="P17" s="16"/>
      <c r="S17" s="16"/>
      <c r="T17" s="16">
        <v>1</v>
      </c>
      <c r="U17" s="16"/>
      <c r="V17" s="16"/>
      <c r="Y17" s="16" t="s">
        <v>160</v>
      </c>
      <c r="Z17" s="16"/>
      <c r="AC17" s="7" t="s">
        <v>94</v>
      </c>
      <c r="AD17" s="7" t="s">
        <v>88</v>
      </c>
      <c r="AE17" s="17" t="str">
        <f>"DB_"&amp;AE10&amp;"休在"</f>
        <v>DB_1休在</v>
      </c>
      <c r="AK17" s="22">
        <v>8</v>
      </c>
      <c r="AL17" s="24" t="s">
        <v>121</v>
      </c>
      <c r="AM17" s="22" t="str">
        <f>IF(_type_of_Calc="時間",CL17+CS17+CZ17+DG17,"")</f>
        <v/>
      </c>
      <c r="AN17" s="22" t="str">
        <f>IF(_type_of_Calc="時間",CM17+CT17+DA17+DH17,"")</f>
        <v/>
      </c>
      <c r="AO17" s="22" t="str">
        <f>IF(_type_of_Calc="時間",CN17+CU17+DB17+DI17,"")</f>
        <v/>
      </c>
      <c r="AR17" s="22">
        <v>8</v>
      </c>
      <c r="AS17" s="24" t="s">
        <v>121</v>
      </c>
      <c r="AT17" s="22">
        <f ca="1">IF(_type_of_Calc="回数",CL44+CS44+CZ44+DG44,"")</f>
        <v>1.33</v>
      </c>
      <c r="AU17" s="22">
        <f ca="1">IF(_type_of_Calc="回数",CM44+CT44+DA44+DH44,"")</f>
        <v>1.33</v>
      </c>
      <c r="AV17" s="22">
        <f ca="1">IF(_type_of_Calc="回数",CN44+CU44+DB44+DI44,"")</f>
        <v>1.33</v>
      </c>
      <c r="AZ17" s="9">
        <v>8</v>
      </c>
      <c r="BA17" s="11">
        <f t="shared" si="26"/>
        <v>36892.07291666665</v>
      </c>
      <c r="BB17" s="9" cm="1">
        <f t="array" aca="1" ref="BB17" ca="1">INDIRECT(ADDRESS(2+$AZ17,1+MATCH($AE$9,INDIRECT($AE$16&amp;"!$B$2:$R$2"),0),1,1,$AE$16))</f>
        <v>0</v>
      </c>
      <c r="BC17" s="9" cm="1">
        <f t="array" aca="1" ref="BC17" ca="1">INDIRECT(ADDRESS(2+$AZ17,1+MATCH($AE$9,INDIRECT($AE$17&amp;"!$B$2:$R$2"),0),1,1,$AE$17))</f>
        <v>0</v>
      </c>
      <c r="BD17" s="9" cm="1">
        <f t="array" aca="1" ref="BD17" ca="1">INDIRECT(ADDRESS(2+$AZ17,1+MATCH($AE$9,INDIRECT($AE$18&amp;"!$B$2:$R$2"),0),1,1,$AE$18))</f>
        <v>0</v>
      </c>
      <c r="BH17" s="9">
        <v>8</v>
      </c>
      <c r="BI17" s="11">
        <f t="shared" si="27"/>
        <v>36892.07291666665</v>
      </c>
      <c r="BJ17" s="9" t="b">
        <f t="shared" ca="1" si="7"/>
        <v>1</v>
      </c>
      <c r="BK17" s="9" t="b">
        <f t="shared" ca="1" si="8"/>
        <v>1</v>
      </c>
      <c r="BL17" s="9" t="b">
        <f t="shared" ca="1" si="9"/>
        <v>1</v>
      </c>
      <c r="BO17" s="9">
        <v>8</v>
      </c>
      <c r="BP17" s="11">
        <f t="shared" si="28"/>
        <v>36892.07291666665</v>
      </c>
      <c r="BQ17" s="9" t="str">
        <f t="shared" ca="1" si="10"/>
        <v/>
      </c>
      <c r="BR17" s="9" t="str">
        <f t="shared" ca="1" si="11"/>
        <v/>
      </c>
      <c r="BS17" s="9" t="str">
        <f t="shared" ca="1" si="12"/>
        <v/>
      </c>
      <c r="BV17" s="9">
        <v>8</v>
      </c>
      <c r="BW17" s="11">
        <f t="shared" si="29"/>
        <v>36892.07291666665</v>
      </c>
      <c r="BX17" s="9" t="str">
        <f t="shared" ca="1" si="13"/>
        <v/>
      </c>
      <c r="BY17" s="9" t="str">
        <f t="shared" ca="1" si="14"/>
        <v/>
      </c>
      <c r="BZ17" s="9" t="str">
        <f t="shared" ca="1" si="15"/>
        <v/>
      </c>
      <c r="CC17" s="9">
        <v>8</v>
      </c>
      <c r="CD17" s="11">
        <f t="shared" si="30"/>
        <v>36892.07291666665</v>
      </c>
      <c r="CE17" s="9" t="str">
        <f t="shared" ca="1" si="16"/>
        <v/>
      </c>
      <c r="CF17" s="9" t="str">
        <f t="shared" ca="1" si="17"/>
        <v/>
      </c>
      <c r="CG17" s="9" t="str">
        <f t="shared" ca="1" si="18"/>
        <v/>
      </c>
      <c r="CJ17" s="9">
        <v>8</v>
      </c>
      <c r="CK17" s="11" t="s">
        <v>121</v>
      </c>
      <c r="CL17" s="9">
        <f ca="1">COUNTIF(BJ38:BJ41,TRUE)/4</f>
        <v>0.75</v>
      </c>
      <c r="CM17" s="9">
        <f t="shared" ref="CM17:CN17" ca="1" si="66">COUNTIF(BK38:BK41,TRUE)/4</f>
        <v>0.75</v>
      </c>
      <c r="CN17" s="9">
        <f t="shared" ca="1" si="66"/>
        <v>0.25</v>
      </c>
      <c r="CQ17" s="9">
        <v>8</v>
      </c>
      <c r="CR17" s="11" t="s">
        <v>121</v>
      </c>
      <c r="CS17" s="9">
        <f ca="1">COUNTIF(BQ38:BQ41,TRUE)/4</f>
        <v>0.25</v>
      </c>
      <c r="CT17" s="9">
        <f t="shared" ref="CT17" ca="1" si="67">COUNTIF(BR38:BR41,TRUE)/4</f>
        <v>0.25</v>
      </c>
      <c r="CU17" s="9">
        <f t="shared" ref="CU17" ca="1" si="68">COUNTIF(BS38:BS41,TRUE)/4</f>
        <v>0.75</v>
      </c>
      <c r="CX17" s="9">
        <v>8</v>
      </c>
      <c r="CY17" s="11" t="s">
        <v>121</v>
      </c>
      <c r="CZ17" s="9">
        <f ca="1">COUNTIF(BX38:BX41,TRUE)/4</f>
        <v>0</v>
      </c>
      <c r="DA17" s="9">
        <f t="shared" ref="DA17" ca="1" si="69">COUNTIF(BY38:BY41,TRUE)/4</f>
        <v>0</v>
      </c>
      <c r="DB17" s="9">
        <f t="shared" ref="DB17" ca="1" si="70">COUNTIF(BZ38:BZ41,TRUE)/4</f>
        <v>0</v>
      </c>
      <c r="DE17" s="9">
        <v>8</v>
      </c>
      <c r="DF17" s="11" t="s">
        <v>121</v>
      </c>
      <c r="DG17" s="9">
        <f ca="1">COUNTIF(CE38:CE41,TRUE)/4</f>
        <v>0</v>
      </c>
      <c r="DH17" s="9">
        <f t="shared" ref="DH17" ca="1" si="71">COUNTIF(CF38:CF41,TRUE)/4</f>
        <v>0</v>
      </c>
      <c r="DI17" s="9">
        <f t="shared" ref="DI17" ca="1" si="72">COUNTIF(CG38:CG41,TRUE)/4</f>
        <v>0</v>
      </c>
    </row>
    <row r="18" spans="4:113" ht="16.5" customHeight="1">
      <c r="D18" s="16" t="s">
        <v>37</v>
      </c>
      <c r="E18" s="16" t="s">
        <v>145</v>
      </c>
      <c r="F18" s="16"/>
      <c r="G18" s="16" t="s">
        <v>75</v>
      </c>
      <c r="H18" s="16" t="s">
        <v>76</v>
      </c>
      <c r="I18" s="16"/>
      <c r="M18" s="16" t="s">
        <v>75</v>
      </c>
      <c r="N18" s="16" t="s">
        <v>76</v>
      </c>
      <c r="O18" s="16"/>
      <c r="P18" s="16"/>
      <c r="S18" s="16"/>
      <c r="T18" s="16">
        <v>1</v>
      </c>
      <c r="U18" s="16">
        <v>2</v>
      </c>
      <c r="V18" s="16"/>
      <c r="Y18" s="16" t="s">
        <v>160</v>
      </c>
      <c r="Z18" s="16"/>
      <c r="AC18" s="7" t="s">
        <v>95</v>
      </c>
      <c r="AD18" s="7" t="s">
        <v>88</v>
      </c>
      <c r="AE18" s="17" t="str">
        <f>"DB_"&amp;AE10&amp;"休外"</f>
        <v>DB_1休外</v>
      </c>
      <c r="AK18" s="22">
        <v>9</v>
      </c>
      <c r="AL18" s="24" t="s">
        <v>123</v>
      </c>
      <c r="AM18" s="22" t="str">
        <f>IF(_type_of_Calc="時間",CL18+CS18+CZ18+DG18,"")</f>
        <v/>
      </c>
      <c r="AN18" s="22" t="str">
        <f>IF(_type_of_Calc="時間",CM18+CT18+DA18+DH18,"")</f>
        <v/>
      </c>
      <c r="AO18" s="22" t="str">
        <f>IF(_type_of_Calc="時間",CN18+CU18+DB18+DI18,"")</f>
        <v/>
      </c>
      <c r="AR18" s="22">
        <v>9</v>
      </c>
      <c r="AS18" s="24" t="s">
        <v>123</v>
      </c>
      <c r="AT18" s="22">
        <f ca="1">IF(_type_of_Calc="回数",CL45+CS45+CZ45+DG45,"")</f>
        <v>1.34</v>
      </c>
      <c r="AU18" s="22">
        <f ca="1">IF(_type_of_Calc="回数",CM45+CT45+DA45+DH45,"")</f>
        <v>1.34</v>
      </c>
      <c r="AV18" s="22">
        <f ca="1">IF(_type_of_Calc="回数",CN45+CU45+DB45+DI45,"")</f>
        <v>1.33</v>
      </c>
      <c r="AZ18" s="9">
        <v>9</v>
      </c>
      <c r="BA18" s="11">
        <f t="shared" si="26"/>
        <v>36892.083333333314</v>
      </c>
      <c r="BB18" s="9" cm="1">
        <f t="array" aca="1" ref="BB18" ca="1">INDIRECT(ADDRESS(2+$AZ18,1+MATCH($AE$9,INDIRECT($AE$16&amp;"!$B$2:$R$2"),0),1,1,$AE$16))</f>
        <v>0</v>
      </c>
      <c r="BC18" s="9" cm="1">
        <f t="array" aca="1" ref="BC18" ca="1">INDIRECT(ADDRESS(2+$AZ18,1+MATCH($AE$9,INDIRECT($AE$17&amp;"!$B$2:$R$2"),0),1,1,$AE$17))</f>
        <v>0</v>
      </c>
      <c r="BD18" s="9" cm="1">
        <f t="array" aca="1" ref="BD18" ca="1">INDIRECT(ADDRESS(2+$AZ18,1+MATCH($AE$9,INDIRECT($AE$18&amp;"!$B$2:$R$2"),0),1,1,$AE$18))</f>
        <v>0</v>
      </c>
      <c r="BH18" s="9">
        <v>9</v>
      </c>
      <c r="BI18" s="11">
        <f t="shared" si="27"/>
        <v>36892.083333333314</v>
      </c>
      <c r="BJ18" s="9" t="b">
        <f t="shared" ca="1" si="7"/>
        <v>1</v>
      </c>
      <c r="BK18" s="9" t="b">
        <f t="shared" ca="1" si="8"/>
        <v>1</v>
      </c>
      <c r="BL18" s="9" t="b">
        <f t="shared" ca="1" si="9"/>
        <v>1</v>
      </c>
      <c r="BO18" s="9">
        <v>9</v>
      </c>
      <c r="BP18" s="11">
        <f t="shared" si="28"/>
        <v>36892.083333333314</v>
      </c>
      <c r="BQ18" s="9" t="str">
        <f t="shared" ca="1" si="10"/>
        <v/>
      </c>
      <c r="BR18" s="9" t="str">
        <f t="shared" ca="1" si="11"/>
        <v/>
      </c>
      <c r="BS18" s="9" t="str">
        <f t="shared" ca="1" si="12"/>
        <v/>
      </c>
      <c r="BV18" s="9">
        <v>9</v>
      </c>
      <c r="BW18" s="11">
        <f t="shared" si="29"/>
        <v>36892.083333333314</v>
      </c>
      <c r="BX18" s="9" t="str">
        <f t="shared" ca="1" si="13"/>
        <v/>
      </c>
      <c r="BY18" s="9" t="str">
        <f t="shared" ca="1" si="14"/>
        <v/>
      </c>
      <c r="BZ18" s="9" t="str">
        <f t="shared" ca="1" si="15"/>
        <v/>
      </c>
      <c r="CC18" s="9">
        <v>9</v>
      </c>
      <c r="CD18" s="11">
        <f t="shared" si="30"/>
        <v>36892.083333333314</v>
      </c>
      <c r="CE18" s="9" t="str">
        <f t="shared" ca="1" si="16"/>
        <v/>
      </c>
      <c r="CF18" s="9" t="str">
        <f t="shared" ca="1" si="17"/>
        <v/>
      </c>
      <c r="CG18" s="9" t="str">
        <f t="shared" ca="1" si="18"/>
        <v/>
      </c>
      <c r="CJ18" s="9">
        <v>9</v>
      </c>
      <c r="CK18" s="11" t="s">
        <v>123</v>
      </c>
      <c r="CL18" s="9">
        <f ca="1">COUNTIF(BJ42:BJ45,TRUE)/4</f>
        <v>0.5</v>
      </c>
      <c r="CM18" s="9">
        <f t="shared" ref="CM18:CN18" ca="1" si="73">COUNTIF(BK42:BK45,TRUE)/4</f>
        <v>0.5</v>
      </c>
      <c r="CN18" s="9">
        <f t="shared" ca="1" si="73"/>
        <v>1</v>
      </c>
      <c r="CQ18" s="9">
        <v>9</v>
      </c>
      <c r="CR18" s="11" t="s">
        <v>123</v>
      </c>
      <c r="CS18" s="9">
        <f ca="1">COUNTIF(BQ42:BQ45,TRUE)/4</f>
        <v>0.5</v>
      </c>
      <c r="CT18" s="9">
        <f t="shared" ref="CT18" ca="1" si="74">COUNTIF(BR42:BR45,TRUE)/4</f>
        <v>0.5</v>
      </c>
      <c r="CU18" s="9">
        <f t="shared" ref="CU18" ca="1" si="75">COUNTIF(BS42:BS45,TRUE)/4</f>
        <v>0</v>
      </c>
      <c r="CX18" s="9">
        <v>9</v>
      </c>
      <c r="CY18" s="11" t="s">
        <v>123</v>
      </c>
      <c r="CZ18" s="9">
        <f ca="1">COUNTIF(BX42:BX45,TRUE)/4</f>
        <v>0</v>
      </c>
      <c r="DA18" s="9">
        <f t="shared" ref="DA18" ca="1" si="76">COUNTIF(BY42:BY45,TRUE)/4</f>
        <v>0</v>
      </c>
      <c r="DB18" s="9">
        <f t="shared" ref="DB18" ca="1" si="77">COUNTIF(BZ42:BZ45,TRUE)/4</f>
        <v>0</v>
      </c>
      <c r="DE18" s="9">
        <v>9</v>
      </c>
      <c r="DF18" s="11" t="s">
        <v>123</v>
      </c>
      <c r="DG18" s="9">
        <f ca="1">COUNTIF(CE42:CE45,TRUE)/4</f>
        <v>0</v>
      </c>
      <c r="DH18" s="9">
        <f t="shared" ref="DH18" ca="1" si="78">COUNTIF(CF42:CF45,TRUE)/4</f>
        <v>0</v>
      </c>
      <c r="DI18" s="9">
        <f t="shared" ref="DI18" ca="1" si="79">COUNTIF(CG42:CG45,TRUE)/4</f>
        <v>0</v>
      </c>
    </row>
    <row r="19" spans="4:113" ht="16.5" customHeight="1">
      <c r="D19" s="16" t="s">
        <v>38</v>
      </c>
      <c r="E19" s="16" t="s">
        <v>57</v>
      </c>
      <c r="F19" s="16" t="s">
        <v>75</v>
      </c>
      <c r="G19" s="16" t="s">
        <v>80</v>
      </c>
      <c r="H19" s="16"/>
      <c r="I19" s="16"/>
      <c r="M19" s="16" t="s">
        <v>75</v>
      </c>
      <c r="N19" s="16" t="s">
        <v>80</v>
      </c>
      <c r="O19" s="16"/>
      <c r="P19" s="16"/>
      <c r="S19" s="16">
        <v>1</v>
      </c>
      <c r="T19" s="16">
        <v>2</v>
      </c>
      <c r="U19" s="16"/>
      <c r="V19" s="16"/>
      <c r="Y19" s="16" t="s">
        <v>160</v>
      </c>
      <c r="Z19" s="16"/>
      <c r="AC19" s="7" t="s">
        <v>99</v>
      </c>
      <c r="AD19" s="7" t="s">
        <v>88</v>
      </c>
      <c r="AK19" s="22">
        <v>10</v>
      </c>
      <c r="AL19" s="24" t="s">
        <v>125</v>
      </c>
      <c r="AM19" s="22" t="str">
        <f>IF(_type_of_Calc="時間",CL19+CS19+CZ19+DG19,"")</f>
        <v/>
      </c>
      <c r="AN19" s="22" t="str">
        <f>IF(_type_of_Calc="時間",CM19+CT19+DA19+DH19,"")</f>
        <v/>
      </c>
      <c r="AO19" s="22" t="str">
        <f>IF(_type_of_Calc="時間",CN19+CU19+DB19+DI19,"")</f>
        <v/>
      </c>
      <c r="AR19" s="22">
        <v>10</v>
      </c>
      <c r="AS19" s="24" t="s">
        <v>125</v>
      </c>
      <c r="AT19" s="22">
        <f ca="1">IF(_type_of_Calc="回数",CL46+CS46+CZ46+DG46,"")</f>
        <v>1.33</v>
      </c>
      <c r="AU19" s="22">
        <f ca="1">IF(_type_of_Calc="回数",CM46+CT46+DA46+DH46,"")</f>
        <v>1.33</v>
      </c>
      <c r="AV19" s="22">
        <f ca="1">IF(_type_of_Calc="回数",CN46+CU46+DB46+DI46,"")</f>
        <v>1.33</v>
      </c>
      <c r="AZ19" s="9">
        <v>10</v>
      </c>
      <c r="BA19" s="11">
        <f t="shared" si="26"/>
        <v>36892.093749999978</v>
      </c>
      <c r="BB19" s="9" cm="1">
        <f t="array" aca="1" ref="BB19" ca="1">INDIRECT(ADDRESS(2+$AZ19,1+MATCH($AE$9,INDIRECT($AE$16&amp;"!$B$2:$R$2"),0),1,1,$AE$16))</f>
        <v>0</v>
      </c>
      <c r="BC19" s="9" cm="1">
        <f t="array" aca="1" ref="BC19" ca="1">INDIRECT(ADDRESS(2+$AZ19,1+MATCH($AE$9,INDIRECT($AE$17&amp;"!$B$2:$R$2"),0),1,1,$AE$17))</f>
        <v>0</v>
      </c>
      <c r="BD19" s="9" cm="1">
        <f t="array" aca="1" ref="BD19" ca="1">INDIRECT(ADDRESS(2+$AZ19,1+MATCH($AE$9,INDIRECT($AE$18&amp;"!$B$2:$R$2"),0),1,1,$AE$18))</f>
        <v>0</v>
      </c>
      <c r="BH19" s="9">
        <v>10</v>
      </c>
      <c r="BI19" s="11">
        <f t="shared" si="27"/>
        <v>36892.093749999978</v>
      </c>
      <c r="BJ19" s="9" t="b">
        <f t="shared" ca="1" si="7"/>
        <v>1</v>
      </c>
      <c r="BK19" s="9" t="b">
        <f t="shared" ca="1" si="8"/>
        <v>1</v>
      </c>
      <c r="BL19" s="9" t="b">
        <f t="shared" ca="1" si="9"/>
        <v>1</v>
      </c>
      <c r="BO19" s="9">
        <v>10</v>
      </c>
      <c r="BP19" s="11">
        <f t="shared" si="28"/>
        <v>36892.093749999978</v>
      </c>
      <c r="BQ19" s="9" t="str">
        <f t="shared" ca="1" si="10"/>
        <v/>
      </c>
      <c r="BR19" s="9" t="str">
        <f t="shared" ca="1" si="11"/>
        <v/>
      </c>
      <c r="BS19" s="9" t="str">
        <f t="shared" ca="1" si="12"/>
        <v/>
      </c>
      <c r="BV19" s="9">
        <v>10</v>
      </c>
      <c r="BW19" s="11">
        <f t="shared" si="29"/>
        <v>36892.093749999978</v>
      </c>
      <c r="BX19" s="9" t="str">
        <f t="shared" ca="1" si="13"/>
        <v/>
      </c>
      <c r="BY19" s="9" t="str">
        <f t="shared" ca="1" si="14"/>
        <v/>
      </c>
      <c r="BZ19" s="9" t="str">
        <f t="shared" ca="1" si="15"/>
        <v/>
      </c>
      <c r="CC19" s="9">
        <v>10</v>
      </c>
      <c r="CD19" s="11">
        <f t="shared" si="30"/>
        <v>36892.093749999978</v>
      </c>
      <c r="CE19" s="9" t="str">
        <f t="shared" ca="1" si="16"/>
        <v/>
      </c>
      <c r="CF19" s="9" t="str">
        <f t="shared" ca="1" si="17"/>
        <v/>
      </c>
      <c r="CG19" s="9" t="str">
        <f t="shared" ca="1" si="18"/>
        <v/>
      </c>
      <c r="CJ19" s="9">
        <v>10</v>
      </c>
      <c r="CK19" s="11" t="s">
        <v>125</v>
      </c>
      <c r="CL19" s="9">
        <f ca="1">COUNTIF(BJ46:BJ49,TRUE)/4</f>
        <v>1</v>
      </c>
      <c r="CM19" s="9">
        <f t="shared" ref="CM19:CN19" ca="1" si="80">COUNTIF(BK46:BK49,TRUE)/4</f>
        <v>1</v>
      </c>
      <c r="CN19" s="9">
        <f t="shared" ca="1" si="80"/>
        <v>1</v>
      </c>
      <c r="CQ19" s="9">
        <v>10</v>
      </c>
      <c r="CR19" s="11" t="s">
        <v>125</v>
      </c>
      <c r="CS19" s="9">
        <f ca="1">COUNTIF(BQ46:BQ49,TRUE)/4</f>
        <v>0</v>
      </c>
      <c r="CT19" s="9">
        <f t="shared" ref="CT19" ca="1" si="81">COUNTIF(BR46:BR49,TRUE)/4</f>
        <v>0</v>
      </c>
      <c r="CU19" s="9">
        <f t="shared" ref="CU19" ca="1" si="82">COUNTIF(BS46:BS49,TRUE)/4</f>
        <v>0</v>
      </c>
      <c r="CX19" s="9">
        <v>10</v>
      </c>
      <c r="CY19" s="11" t="s">
        <v>125</v>
      </c>
      <c r="CZ19" s="9">
        <f ca="1">COUNTIF(BX46:BX49,TRUE)/4</f>
        <v>0</v>
      </c>
      <c r="DA19" s="9">
        <f t="shared" ref="DA19" ca="1" si="83">COUNTIF(BY46:BY49,TRUE)/4</f>
        <v>0</v>
      </c>
      <c r="DB19" s="9">
        <f t="shared" ref="DB19" ca="1" si="84">COUNTIF(BZ46:BZ49,TRUE)/4</f>
        <v>0</v>
      </c>
      <c r="DE19" s="9">
        <v>10</v>
      </c>
      <c r="DF19" s="11" t="s">
        <v>125</v>
      </c>
      <c r="DG19" s="9">
        <f ca="1">COUNTIF(CE46:CE49,TRUE)/4</f>
        <v>0</v>
      </c>
      <c r="DH19" s="9">
        <f t="shared" ref="DH19" ca="1" si="85">COUNTIF(CF46:CF49,TRUE)/4</f>
        <v>0</v>
      </c>
      <c r="DI19" s="9">
        <f t="shared" ref="DI19" ca="1" si="86">COUNTIF(CG46:CG49,TRUE)/4</f>
        <v>0</v>
      </c>
    </row>
    <row r="20" spans="4:113" ht="16.5" customHeight="1">
      <c r="D20" s="16" t="s">
        <v>39</v>
      </c>
      <c r="E20" s="16" t="s">
        <v>58</v>
      </c>
      <c r="F20" s="16" t="s">
        <v>75</v>
      </c>
      <c r="G20" s="16" t="s">
        <v>79</v>
      </c>
      <c r="H20" s="16"/>
      <c r="I20" s="16"/>
      <c r="M20" s="16" t="s">
        <v>75</v>
      </c>
      <c r="N20" s="16" t="s">
        <v>79</v>
      </c>
      <c r="O20" s="16"/>
      <c r="P20" s="16"/>
      <c r="S20" s="16">
        <v>1</v>
      </c>
      <c r="T20" s="16">
        <v>2</v>
      </c>
      <c r="U20" s="16"/>
      <c r="V20" s="16"/>
      <c r="Y20" s="16" t="s">
        <v>160</v>
      </c>
      <c r="Z20" s="16"/>
      <c r="AK20" s="22">
        <v>11</v>
      </c>
      <c r="AL20" s="24" t="s">
        <v>6</v>
      </c>
      <c r="AM20" s="22" t="str">
        <f>IF(_type_of_Calc="時間",CL20+CS20+CZ20+DG20,"")</f>
        <v/>
      </c>
      <c r="AN20" s="22" t="str">
        <f>IF(_type_of_Calc="時間",CM20+CT20+DA20+DH20,"")</f>
        <v/>
      </c>
      <c r="AO20" s="22" t="str">
        <f>IF(_type_of_Calc="時間",CN20+CU20+DB20+DI20,"")</f>
        <v/>
      </c>
      <c r="AR20" s="22">
        <v>11</v>
      </c>
      <c r="AS20" s="24" t="s">
        <v>6</v>
      </c>
      <c r="AT20" s="22">
        <f ca="1">IF(_type_of_Calc="回数",CL47+CS47+CZ47+DG47,"")</f>
        <v>1.33</v>
      </c>
      <c r="AU20" s="22">
        <f ca="1">IF(_type_of_Calc="回数",CM47+CT47+DA47+DH47,"")</f>
        <v>1.33</v>
      </c>
      <c r="AV20" s="22">
        <f ca="1">IF(_type_of_Calc="回数",CN47+CU47+DB47+DI47,"")</f>
        <v>1.33</v>
      </c>
      <c r="AZ20" s="9">
        <v>11</v>
      </c>
      <c r="BA20" s="11">
        <f t="shared" si="26"/>
        <v>36892.104166666642</v>
      </c>
      <c r="BB20" s="9" cm="1">
        <f t="array" aca="1" ref="BB20" ca="1">INDIRECT(ADDRESS(2+$AZ20,1+MATCH($AE$9,INDIRECT($AE$16&amp;"!$B$2:$R$2"),0),1,1,$AE$16))</f>
        <v>0</v>
      </c>
      <c r="BC20" s="9" cm="1">
        <f t="array" aca="1" ref="BC20" ca="1">INDIRECT(ADDRESS(2+$AZ20,1+MATCH($AE$9,INDIRECT($AE$17&amp;"!$B$2:$R$2"),0),1,1,$AE$17))</f>
        <v>0</v>
      </c>
      <c r="BD20" s="9" cm="1">
        <f t="array" aca="1" ref="BD20" ca="1">INDIRECT(ADDRESS(2+$AZ20,1+MATCH($AE$9,INDIRECT($AE$18&amp;"!$B$2:$R$2"),0),1,1,$AE$18))</f>
        <v>0</v>
      </c>
      <c r="BH20" s="9">
        <v>11</v>
      </c>
      <c r="BI20" s="11">
        <f t="shared" si="27"/>
        <v>36892.104166666642</v>
      </c>
      <c r="BJ20" s="9" t="b">
        <f t="shared" ca="1" si="7"/>
        <v>1</v>
      </c>
      <c r="BK20" s="9" t="b">
        <f t="shared" ca="1" si="8"/>
        <v>1</v>
      </c>
      <c r="BL20" s="9" t="b">
        <f t="shared" ca="1" si="9"/>
        <v>1</v>
      </c>
      <c r="BO20" s="9">
        <v>11</v>
      </c>
      <c r="BP20" s="11">
        <f t="shared" si="28"/>
        <v>36892.104166666642</v>
      </c>
      <c r="BQ20" s="9" t="str">
        <f t="shared" ca="1" si="10"/>
        <v/>
      </c>
      <c r="BR20" s="9" t="str">
        <f t="shared" ca="1" si="11"/>
        <v/>
      </c>
      <c r="BS20" s="9" t="str">
        <f t="shared" ca="1" si="12"/>
        <v/>
      </c>
      <c r="BV20" s="9">
        <v>11</v>
      </c>
      <c r="BW20" s="11">
        <f t="shared" si="29"/>
        <v>36892.104166666642</v>
      </c>
      <c r="BX20" s="9" t="str">
        <f t="shared" ca="1" si="13"/>
        <v/>
      </c>
      <c r="BY20" s="9" t="str">
        <f t="shared" ca="1" si="14"/>
        <v/>
      </c>
      <c r="BZ20" s="9" t="str">
        <f t="shared" ca="1" si="15"/>
        <v/>
      </c>
      <c r="CC20" s="9">
        <v>11</v>
      </c>
      <c r="CD20" s="11">
        <f t="shared" si="30"/>
        <v>36892.104166666642</v>
      </c>
      <c r="CE20" s="9" t="str">
        <f t="shared" ca="1" si="16"/>
        <v/>
      </c>
      <c r="CF20" s="9" t="str">
        <f t="shared" ca="1" si="17"/>
        <v/>
      </c>
      <c r="CG20" s="9" t="str">
        <f t="shared" ca="1" si="18"/>
        <v/>
      </c>
      <c r="CJ20" s="9">
        <v>11</v>
      </c>
      <c r="CK20" s="11" t="s">
        <v>6</v>
      </c>
      <c r="CL20" s="9">
        <f ca="1">COUNTIF(BJ50:BJ53,TRUE)/4</f>
        <v>1</v>
      </c>
      <c r="CM20" s="9">
        <f t="shared" ref="CM20:CN20" ca="1" si="87">COUNTIF(BK50:BK53,TRUE)/4</f>
        <v>1</v>
      </c>
      <c r="CN20" s="9">
        <f t="shared" ca="1" si="87"/>
        <v>1</v>
      </c>
      <c r="CQ20" s="9">
        <v>11</v>
      </c>
      <c r="CR20" s="11" t="s">
        <v>6</v>
      </c>
      <c r="CS20" s="9">
        <f ca="1">COUNTIF(BQ50:BQ53,TRUE)/4</f>
        <v>0</v>
      </c>
      <c r="CT20" s="9">
        <f t="shared" ref="CT20" ca="1" si="88">COUNTIF(BR50:BR53,TRUE)/4</f>
        <v>0</v>
      </c>
      <c r="CU20" s="9">
        <f t="shared" ref="CU20" ca="1" si="89">COUNTIF(BS50:BS53,TRUE)/4</f>
        <v>0</v>
      </c>
      <c r="CX20" s="9">
        <v>11</v>
      </c>
      <c r="CY20" s="11" t="s">
        <v>6</v>
      </c>
      <c r="CZ20" s="9">
        <f ca="1">COUNTIF(BX50:BX53,TRUE)/4</f>
        <v>0</v>
      </c>
      <c r="DA20" s="9">
        <f t="shared" ref="DA20" ca="1" si="90">COUNTIF(BY50:BY53,TRUE)/4</f>
        <v>0</v>
      </c>
      <c r="DB20" s="9">
        <f t="shared" ref="DB20" ca="1" si="91">COUNTIF(BZ50:BZ53,TRUE)/4</f>
        <v>0</v>
      </c>
      <c r="DE20" s="9">
        <v>11</v>
      </c>
      <c r="DF20" s="11" t="s">
        <v>6</v>
      </c>
      <c r="DG20" s="9">
        <f ca="1">COUNTIF(CE50:CE53,TRUE)/4</f>
        <v>0</v>
      </c>
      <c r="DH20" s="9">
        <f t="shared" ref="DH20" ca="1" si="92">COUNTIF(CF50:CF53,TRUE)/4</f>
        <v>0</v>
      </c>
      <c r="DI20" s="9">
        <f t="shared" ref="DI20" ca="1" si="93">COUNTIF(CG50:CG53,TRUE)/4</f>
        <v>0</v>
      </c>
    </row>
    <row r="21" spans="4:113" ht="16.5" customHeight="1">
      <c r="D21" s="16" t="s">
        <v>40</v>
      </c>
      <c r="E21" s="16" t="s">
        <v>59</v>
      </c>
      <c r="F21" s="16" t="s">
        <v>81</v>
      </c>
      <c r="G21" s="16" t="s">
        <v>82</v>
      </c>
      <c r="H21" s="16"/>
      <c r="I21" s="16"/>
      <c r="M21" s="16" t="s">
        <v>82</v>
      </c>
      <c r="N21" s="16"/>
      <c r="O21" s="16"/>
      <c r="P21" s="16"/>
      <c r="S21" s="16"/>
      <c r="T21" s="16">
        <v>1</v>
      </c>
      <c r="U21" s="16"/>
      <c r="V21" s="16"/>
      <c r="Y21" s="16" t="s">
        <v>160</v>
      </c>
      <c r="Z21" s="16"/>
      <c r="AC21" s="7" t="s">
        <v>135</v>
      </c>
      <c r="AD21" s="7" t="s">
        <v>88</v>
      </c>
      <c r="AE21" s="7" t="str">
        <f>VLOOKUP($AE$9,$D$9:$V$24,10,FALSE)</f>
        <v>洗濯</v>
      </c>
      <c r="AK21" s="22">
        <v>12</v>
      </c>
      <c r="AL21" s="24" t="s">
        <v>7</v>
      </c>
      <c r="AM21" s="22" t="str">
        <f>IF(_type_of_Calc="時間",CL21+CS21+CZ21+DG21,"")</f>
        <v/>
      </c>
      <c r="AN21" s="22" t="str">
        <f>IF(_type_of_Calc="時間",CM21+CT21+DA21+DH21,"")</f>
        <v/>
      </c>
      <c r="AO21" s="22" t="str">
        <f>IF(_type_of_Calc="時間",CN21+CU21+DB21+DI21,"")</f>
        <v/>
      </c>
      <c r="AR21" s="22">
        <v>12</v>
      </c>
      <c r="AS21" s="24" t="s">
        <v>7</v>
      </c>
      <c r="AT21" s="22">
        <f ca="1">IF(_type_of_Calc="回数",CL48+CS48+CZ48+DG48,"")</f>
        <v>1.33</v>
      </c>
      <c r="AU21" s="22">
        <f ca="1">IF(_type_of_Calc="回数",CM48+CT48+DA48+DH48,"")</f>
        <v>1.33</v>
      </c>
      <c r="AV21" s="22">
        <f ca="1">IF(_type_of_Calc="回数",CN48+CU48+DB48+DI48,"")</f>
        <v>1.33</v>
      </c>
      <c r="AZ21" s="9">
        <v>12</v>
      </c>
      <c r="BA21" s="11">
        <f t="shared" si="26"/>
        <v>36892.114583333307</v>
      </c>
      <c r="BB21" s="9" cm="1">
        <f t="array" aca="1" ref="BB21" ca="1">INDIRECT(ADDRESS(2+$AZ21,1+MATCH($AE$9,INDIRECT($AE$16&amp;"!$B$2:$R$2"),0),1,1,$AE$16))</f>
        <v>0</v>
      </c>
      <c r="BC21" s="9" cm="1">
        <f t="array" aca="1" ref="BC21" ca="1">INDIRECT(ADDRESS(2+$AZ21,1+MATCH($AE$9,INDIRECT($AE$17&amp;"!$B$2:$R$2"),0),1,1,$AE$17))</f>
        <v>0</v>
      </c>
      <c r="BD21" s="9" cm="1">
        <f t="array" aca="1" ref="BD21" ca="1">INDIRECT(ADDRESS(2+$AZ21,1+MATCH($AE$9,INDIRECT($AE$18&amp;"!$B$2:$R$2"),0),1,1,$AE$18))</f>
        <v>0</v>
      </c>
      <c r="BH21" s="9">
        <v>12</v>
      </c>
      <c r="BI21" s="11">
        <f t="shared" si="27"/>
        <v>36892.114583333307</v>
      </c>
      <c r="BJ21" s="9" t="b">
        <f t="shared" ca="1" si="7"/>
        <v>1</v>
      </c>
      <c r="BK21" s="9" t="b">
        <f t="shared" ca="1" si="8"/>
        <v>1</v>
      </c>
      <c r="BL21" s="9" t="b">
        <f t="shared" ca="1" si="9"/>
        <v>1</v>
      </c>
      <c r="BO21" s="9">
        <v>12</v>
      </c>
      <c r="BP21" s="11">
        <f t="shared" si="28"/>
        <v>36892.114583333307</v>
      </c>
      <c r="BQ21" s="9" t="str">
        <f t="shared" ca="1" si="10"/>
        <v/>
      </c>
      <c r="BR21" s="9" t="str">
        <f t="shared" ca="1" si="11"/>
        <v/>
      </c>
      <c r="BS21" s="9" t="str">
        <f t="shared" ca="1" si="12"/>
        <v/>
      </c>
      <c r="BV21" s="9">
        <v>12</v>
      </c>
      <c r="BW21" s="11">
        <f t="shared" si="29"/>
        <v>36892.114583333307</v>
      </c>
      <c r="BX21" s="9" t="str">
        <f t="shared" ca="1" si="13"/>
        <v/>
      </c>
      <c r="BY21" s="9" t="str">
        <f t="shared" ca="1" si="14"/>
        <v/>
      </c>
      <c r="BZ21" s="9" t="str">
        <f t="shared" ca="1" si="15"/>
        <v/>
      </c>
      <c r="CC21" s="9">
        <v>12</v>
      </c>
      <c r="CD21" s="11">
        <f t="shared" si="30"/>
        <v>36892.114583333307</v>
      </c>
      <c r="CE21" s="9" t="str">
        <f t="shared" ca="1" si="16"/>
        <v/>
      </c>
      <c r="CF21" s="9" t="str">
        <f t="shared" ca="1" si="17"/>
        <v/>
      </c>
      <c r="CG21" s="9" t="str">
        <f t="shared" ca="1" si="18"/>
        <v/>
      </c>
      <c r="CJ21" s="9">
        <v>12</v>
      </c>
      <c r="CK21" s="11" t="s">
        <v>7</v>
      </c>
      <c r="CL21" s="9">
        <f ca="1">COUNTIF(BJ54:BJ57,TRUE)/4</f>
        <v>1</v>
      </c>
      <c r="CM21" s="9">
        <f t="shared" ref="CM21:CN21" ca="1" si="94">COUNTIF(BK54:BK57,TRUE)/4</f>
        <v>1</v>
      </c>
      <c r="CN21" s="9">
        <f t="shared" ca="1" si="94"/>
        <v>1</v>
      </c>
      <c r="CQ21" s="9">
        <v>12</v>
      </c>
      <c r="CR21" s="11" t="s">
        <v>7</v>
      </c>
      <c r="CS21" s="9">
        <f ca="1">COUNTIF(BQ54:BQ57,TRUE)/4</f>
        <v>0</v>
      </c>
      <c r="CT21" s="9">
        <f t="shared" ref="CT21" ca="1" si="95">COUNTIF(BR54:BR57,TRUE)/4</f>
        <v>0</v>
      </c>
      <c r="CU21" s="9">
        <f t="shared" ref="CU21" ca="1" si="96">COUNTIF(BS54:BS57,TRUE)/4</f>
        <v>0</v>
      </c>
      <c r="CX21" s="9">
        <v>12</v>
      </c>
      <c r="CY21" s="11" t="s">
        <v>7</v>
      </c>
      <c r="CZ21" s="9">
        <f ca="1">COUNTIF(BX54:BX57,TRUE)/4</f>
        <v>0</v>
      </c>
      <c r="DA21" s="9">
        <f t="shared" ref="DA21" ca="1" si="97">COUNTIF(BY54:BY57,TRUE)/4</f>
        <v>0</v>
      </c>
      <c r="DB21" s="9">
        <f t="shared" ref="DB21" ca="1" si="98">COUNTIF(BZ54:BZ57,TRUE)/4</f>
        <v>0</v>
      </c>
      <c r="DE21" s="9">
        <v>12</v>
      </c>
      <c r="DF21" s="11" t="s">
        <v>7</v>
      </c>
      <c r="DG21" s="9">
        <f ca="1">COUNTIF(CE54:CE57,TRUE)/4</f>
        <v>0</v>
      </c>
      <c r="DH21" s="9">
        <f t="shared" ref="DH21" ca="1" si="99">COUNTIF(CF54:CF57,TRUE)/4</f>
        <v>0</v>
      </c>
      <c r="DI21" s="9">
        <f t="shared" ref="DI21" ca="1" si="100">COUNTIF(CG54:CG57,TRUE)/4</f>
        <v>0</v>
      </c>
    </row>
    <row r="22" spans="4:113" ht="16.5" customHeight="1">
      <c r="D22" s="16" t="s">
        <v>41</v>
      </c>
      <c r="E22" s="16" t="s">
        <v>60</v>
      </c>
      <c r="F22" s="16" t="s">
        <v>70</v>
      </c>
      <c r="G22" s="16" t="s">
        <v>83</v>
      </c>
      <c r="H22" s="16"/>
      <c r="I22" s="16"/>
      <c r="M22" s="16" t="s">
        <v>83</v>
      </c>
      <c r="N22" s="16"/>
      <c r="O22" s="16"/>
      <c r="P22" s="16"/>
      <c r="S22" s="16"/>
      <c r="T22" s="16">
        <v>1</v>
      </c>
      <c r="U22" s="16"/>
      <c r="V22" s="16"/>
      <c r="Y22" s="16" t="s">
        <v>161</v>
      </c>
      <c r="Z22" s="16">
        <v>3</v>
      </c>
      <c r="AC22" s="7" t="s">
        <v>136</v>
      </c>
      <c r="AD22" s="7" t="s">
        <v>88</v>
      </c>
      <c r="AE22" s="7">
        <f>VLOOKUP($AE$9,$D$9:$V$24,11,FALSE)</f>
        <v>0</v>
      </c>
      <c r="AK22" s="22">
        <v>13</v>
      </c>
      <c r="AL22" s="24" t="s">
        <v>8</v>
      </c>
      <c r="AM22" s="22" t="str">
        <f>IF(_type_of_Calc="時間",CL22+CS22+CZ22+DG22,"")</f>
        <v/>
      </c>
      <c r="AN22" s="22" t="str">
        <f>IF(_type_of_Calc="時間",CM22+CT22+DA22+DH22,"")</f>
        <v/>
      </c>
      <c r="AO22" s="22" t="str">
        <f>IF(_type_of_Calc="時間",CN22+CU22+DB22+DI22,"")</f>
        <v/>
      </c>
      <c r="AR22" s="22">
        <v>13</v>
      </c>
      <c r="AS22" s="24" t="s">
        <v>8</v>
      </c>
      <c r="AT22" s="22">
        <f ca="1">IF(_type_of_Calc="回数",CL49+CS49+CZ49+DG49,"")</f>
        <v>1.33</v>
      </c>
      <c r="AU22" s="22">
        <f ca="1">IF(_type_of_Calc="回数",CM49+CT49+DA49+DH49,"")</f>
        <v>1.33</v>
      </c>
      <c r="AV22" s="22">
        <f ca="1">IF(_type_of_Calc="回数",CN49+CU49+DB49+DI49,"")</f>
        <v>1.33</v>
      </c>
      <c r="AZ22" s="9">
        <v>13</v>
      </c>
      <c r="BA22" s="11">
        <f t="shared" si="26"/>
        <v>36892.124999999971</v>
      </c>
      <c r="BB22" s="9" cm="1">
        <f t="array" aca="1" ref="BB22" ca="1">INDIRECT(ADDRESS(2+$AZ22,1+MATCH($AE$9,INDIRECT($AE$16&amp;"!$B$2:$R$2"),0),1,1,$AE$16))</f>
        <v>0</v>
      </c>
      <c r="BC22" s="9" cm="1">
        <f t="array" aca="1" ref="BC22" ca="1">INDIRECT(ADDRESS(2+$AZ22,1+MATCH($AE$9,INDIRECT($AE$17&amp;"!$B$2:$R$2"),0),1,1,$AE$17))</f>
        <v>0</v>
      </c>
      <c r="BD22" s="9" cm="1">
        <f t="array" aca="1" ref="BD22" ca="1">INDIRECT(ADDRESS(2+$AZ22,1+MATCH($AE$9,INDIRECT($AE$18&amp;"!$B$2:$R$2"),0),1,1,$AE$18))</f>
        <v>0</v>
      </c>
      <c r="BH22" s="9">
        <v>13</v>
      </c>
      <c r="BI22" s="11">
        <f t="shared" si="27"/>
        <v>36892.124999999971</v>
      </c>
      <c r="BJ22" s="9" t="b">
        <f t="shared" ca="1" si="7"/>
        <v>1</v>
      </c>
      <c r="BK22" s="9" t="b">
        <f t="shared" ca="1" si="8"/>
        <v>1</v>
      </c>
      <c r="BL22" s="9" t="b">
        <f t="shared" ca="1" si="9"/>
        <v>1</v>
      </c>
      <c r="BO22" s="9">
        <v>13</v>
      </c>
      <c r="BP22" s="11">
        <f t="shared" si="28"/>
        <v>36892.124999999971</v>
      </c>
      <c r="BQ22" s="9" t="str">
        <f t="shared" ca="1" si="10"/>
        <v/>
      </c>
      <c r="BR22" s="9" t="str">
        <f t="shared" ca="1" si="11"/>
        <v/>
      </c>
      <c r="BS22" s="9" t="str">
        <f t="shared" ca="1" si="12"/>
        <v/>
      </c>
      <c r="BV22" s="9">
        <v>13</v>
      </c>
      <c r="BW22" s="11">
        <f t="shared" si="29"/>
        <v>36892.124999999971</v>
      </c>
      <c r="BX22" s="9" t="str">
        <f t="shared" ca="1" si="13"/>
        <v/>
      </c>
      <c r="BY22" s="9" t="str">
        <f t="shared" ca="1" si="14"/>
        <v/>
      </c>
      <c r="BZ22" s="9" t="str">
        <f t="shared" ca="1" si="15"/>
        <v/>
      </c>
      <c r="CC22" s="9">
        <v>13</v>
      </c>
      <c r="CD22" s="11">
        <f t="shared" si="30"/>
        <v>36892.124999999971</v>
      </c>
      <c r="CE22" s="9" t="str">
        <f t="shared" ca="1" si="16"/>
        <v/>
      </c>
      <c r="CF22" s="9" t="str">
        <f t="shared" ca="1" si="17"/>
        <v/>
      </c>
      <c r="CG22" s="9" t="str">
        <f t="shared" ca="1" si="18"/>
        <v/>
      </c>
      <c r="CJ22" s="9">
        <v>13</v>
      </c>
      <c r="CK22" s="11" t="s">
        <v>8</v>
      </c>
      <c r="CL22" s="9">
        <f ca="1">COUNTIF(BJ58:BJ61,TRUE)/4</f>
        <v>1</v>
      </c>
      <c r="CM22" s="9">
        <f t="shared" ref="CM22:CN22" ca="1" si="101">COUNTIF(BK58:BK61,TRUE)/4</f>
        <v>1</v>
      </c>
      <c r="CN22" s="9">
        <f t="shared" ca="1" si="101"/>
        <v>1</v>
      </c>
      <c r="CQ22" s="9">
        <v>13</v>
      </c>
      <c r="CR22" s="11" t="s">
        <v>8</v>
      </c>
      <c r="CS22" s="9">
        <f ca="1">COUNTIF(BQ58:BQ61,TRUE)/4</f>
        <v>0</v>
      </c>
      <c r="CT22" s="9">
        <f t="shared" ref="CT22" ca="1" si="102">COUNTIF(BR58:BR61,TRUE)/4</f>
        <v>0</v>
      </c>
      <c r="CU22" s="9">
        <f t="shared" ref="CU22" ca="1" si="103">COUNTIF(BS58:BS61,TRUE)/4</f>
        <v>0</v>
      </c>
      <c r="CX22" s="9">
        <v>13</v>
      </c>
      <c r="CY22" s="11" t="s">
        <v>8</v>
      </c>
      <c r="CZ22" s="9">
        <f ca="1">COUNTIF(BX58:BX61,TRUE)/4</f>
        <v>0</v>
      </c>
      <c r="DA22" s="9">
        <f t="shared" ref="DA22" ca="1" si="104">COUNTIF(BY58:BY61,TRUE)/4</f>
        <v>0</v>
      </c>
      <c r="DB22" s="9">
        <f t="shared" ref="DB22" ca="1" si="105">COUNTIF(BZ58:BZ61,TRUE)/4</f>
        <v>0</v>
      </c>
      <c r="DE22" s="9">
        <v>13</v>
      </c>
      <c r="DF22" s="11" t="s">
        <v>8</v>
      </c>
      <c r="DG22" s="9">
        <f ca="1">COUNTIF(CE58:CE61,TRUE)/4</f>
        <v>0</v>
      </c>
      <c r="DH22" s="9">
        <f t="shared" ref="DH22" ca="1" si="106">COUNTIF(CF58:CF61,TRUE)/4</f>
        <v>0</v>
      </c>
      <c r="DI22" s="9">
        <f t="shared" ref="DI22" ca="1" si="107">COUNTIF(CG58:CG61,TRUE)/4</f>
        <v>0</v>
      </c>
    </row>
    <row r="23" spans="4:113" ht="16.5" customHeight="1">
      <c r="D23" s="16" t="s">
        <v>42</v>
      </c>
      <c r="E23" s="16" t="s">
        <v>61</v>
      </c>
      <c r="F23" s="16" t="s">
        <v>70</v>
      </c>
      <c r="G23" s="16" t="s">
        <v>77</v>
      </c>
      <c r="H23" s="16"/>
      <c r="I23" s="16"/>
      <c r="M23" s="16" t="s">
        <v>77</v>
      </c>
      <c r="N23" s="16"/>
      <c r="O23" s="16"/>
      <c r="P23" s="16"/>
      <c r="S23" s="16"/>
      <c r="T23" s="16">
        <v>1</v>
      </c>
      <c r="U23" s="16"/>
      <c r="V23" s="16"/>
      <c r="Y23" s="16" t="s">
        <v>160</v>
      </c>
      <c r="Z23" s="16"/>
      <c r="AC23" s="7" t="s">
        <v>137</v>
      </c>
      <c r="AD23" s="7" t="s">
        <v>88</v>
      </c>
      <c r="AE23" s="7">
        <f>VLOOKUP($AE$9,$D$9:$V$24,12,FALSE)</f>
        <v>0</v>
      </c>
      <c r="AK23" s="22">
        <v>14</v>
      </c>
      <c r="AL23" s="24" t="s">
        <v>9</v>
      </c>
      <c r="AM23" s="22" t="str">
        <f>IF(_type_of_Calc="時間",CL23+CS23+CZ23+DG23,"")</f>
        <v/>
      </c>
      <c r="AN23" s="22" t="str">
        <f>IF(_type_of_Calc="時間",CM23+CT23+DA23+DH23,"")</f>
        <v/>
      </c>
      <c r="AO23" s="22" t="str">
        <f>IF(_type_of_Calc="時間",CN23+CU23+DB23+DI23,"")</f>
        <v/>
      </c>
      <c r="AR23" s="22">
        <v>14</v>
      </c>
      <c r="AS23" s="24" t="s">
        <v>9</v>
      </c>
      <c r="AT23" s="22">
        <f ca="1">IF(_type_of_Calc="回数",CL50+CS50+CZ50+DG50,"")</f>
        <v>1.33</v>
      </c>
      <c r="AU23" s="22">
        <f ca="1">IF(_type_of_Calc="回数",CM50+CT50+DA50+DH50,"")</f>
        <v>1.33</v>
      </c>
      <c r="AV23" s="22">
        <f ca="1">IF(_type_of_Calc="回数",CN50+CU50+DB50+DI50,"")</f>
        <v>1.33</v>
      </c>
      <c r="AZ23" s="9">
        <v>14</v>
      </c>
      <c r="BA23" s="11">
        <f t="shared" si="26"/>
        <v>36892.135416666635</v>
      </c>
      <c r="BB23" s="9" cm="1">
        <f t="array" aca="1" ref="BB23" ca="1">INDIRECT(ADDRESS(2+$AZ23,1+MATCH($AE$9,INDIRECT($AE$16&amp;"!$B$2:$R$2"),0),1,1,$AE$16))</f>
        <v>0</v>
      </c>
      <c r="BC23" s="9" cm="1">
        <f t="array" aca="1" ref="BC23" ca="1">INDIRECT(ADDRESS(2+$AZ23,1+MATCH($AE$9,INDIRECT($AE$17&amp;"!$B$2:$R$2"),0),1,1,$AE$17))</f>
        <v>0</v>
      </c>
      <c r="BD23" s="9" cm="1">
        <f t="array" aca="1" ref="BD23" ca="1">INDIRECT(ADDRESS(2+$AZ23,1+MATCH($AE$9,INDIRECT($AE$18&amp;"!$B$2:$R$2"),0),1,1,$AE$18))</f>
        <v>0</v>
      </c>
      <c r="BH23" s="9">
        <v>14</v>
      </c>
      <c r="BI23" s="11">
        <f t="shared" si="27"/>
        <v>36892.135416666635</v>
      </c>
      <c r="BJ23" s="9" t="b">
        <f t="shared" ca="1" si="7"/>
        <v>1</v>
      </c>
      <c r="BK23" s="9" t="b">
        <f t="shared" ca="1" si="8"/>
        <v>1</v>
      </c>
      <c r="BL23" s="9" t="b">
        <f t="shared" ca="1" si="9"/>
        <v>1</v>
      </c>
      <c r="BO23" s="9">
        <v>14</v>
      </c>
      <c r="BP23" s="11">
        <f t="shared" si="28"/>
        <v>36892.135416666635</v>
      </c>
      <c r="BQ23" s="9" t="str">
        <f t="shared" ca="1" si="10"/>
        <v/>
      </c>
      <c r="BR23" s="9" t="str">
        <f t="shared" ca="1" si="11"/>
        <v/>
      </c>
      <c r="BS23" s="9" t="str">
        <f t="shared" ca="1" si="12"/>
        <v/>
      </c>
      <c r="BV23" s="9">
        <v>14</v>
      </c>
      <c r="BW23" s="11">
        <f t="shared" si="29"/>
        <v>36892.135416666635</v>
      </c>
      <c r="BX23" s="9" t="str">
        <f t="shared" ca="1" si="13"/>
        <v/>
      </c>
      <c r="BY23" s="9" t="str">
        <f t="shared" ca="1" si="14"/>
        <v/>
      </c>
      <c r="BZ23" s="9" t="str">
        <f t="shared" ca="1" si="15"/>
        <v/>
      </c>
      <c r="CC23" s="9">
        <v>14</v>
      </c>
      <c r="CD23" s="11">
        <f t="shared" si="30"/>
        <v>36892.135416666635</v>
      </c>
      <c r="CE23" s="9" t="str">
        <f t="shared" ca="1" si="16"/>
        <v/>
      </c>
      <c r="CF23" s="9" t="str">
        <f t="shared" ca="1" si="17"/>
        <v/>
      </c>
      <c r="CG23" s="9" t="str">
        <f t="shared" ca="1" si="18"/>
        <v/>
      </c>
      <c r="CJ23" s="9">
        <v>14</v>
      </c>
      <c r="CK23" s="11" t="s">
        <v>9</v>
      </c>
      <c r="CL23" s="9">
        <f ca="1">COUNTIF(BJ62:BJ65,TRUE)/4</f>
        <v>1</v>
      </c>
      <c r="CM23" s="9">
        <f t="shared" ref="CM23:CN23" ca="1" si="108">COUNTIF(BK62:BK65,TRUE)/4</f>
        <v>1</v>
      </c>
      <c r="CN23" s="9">
        <f t="shared" ca="1" si="108"/>
        <v>1</v>
      </c>
      <c r="CQ23" s="9">
        <v>14</v>
      </c>
      <c r="CR23" s="11" t="s">
        <v>9</v>
      </c>
      <c r="CS23" s="9">
        <f ca="1">COUNTIF(BQ62:BQ65,TRUE)/4</f>
        <v>0</v>
      </c>
      <c r="CT23" s="9">
        <f t="shared" ref="CT23" ca="1" si="109">COUNTIF(BR62:BR65,TRUE)/4</f>
        <v>0</v>
      </c>
      <c r="CU23" s="9">
        <f t="shared" ref="CU23" ca="1" si="110">COUNTIF(BS62:BS65,TRUE)/4</f>
        <v>0</v>
      </c>
      <c r="CX23" s="9">
        <v>14</v>
      </c>
      <c r="CY23" s="11" t="s">
        <v>9</v>
      </c>
      <c r="CZ23" s="9">
        <f ca="1">COUNTIF(BX62:BX65,TRUE)/4</f>
        <v>0</v>
      </c>
      <c r="DA23" s="9">
        <f t="shared" ref="DA23" ca="1" si="111">COUNTIF(BY62:BY65,TRUE)/4</f>
        <v>0</v>
      </c>
      <c r="DB23" s="9">
        <f t="shared" ref="DB23" ca="1" si="112">COUNTIF(BZ62:BZ65,TRUE)/4</f>
        <v>0</v>
      </c>
      <c r="DE23" s="9">
        <v>14</v>
      </c>
      <c r="DF23" s="11" t="s">
        <v>9</v>
      </c>
      <c r="DG23" s="9">
        <f ca="1">COUNTIF(CE62:CE65,TRUE)/4</f>
        <v>0</v>
      </c>
      <c r="DH23" s="9">
        <f t="shared" ref="DH23" ca="1" si="113">COUNTIF(CF62:CF65,TRUE)/4</f>
        <v>0</v>
      </c>
      <c r="DI23" s="9">
        <f t="shared" ref="DI23" ca="1" si="114">COUNTIF(CG62:CG65,TRUE)/4</f>
        <v>0</v>
      </c>
    </row>
    <row r="24" spans="4:113" ht="16.5" customHeight="1">
      <c r="D24" s="16" t="s">
        <v>43</v>
      </c>
      <c r="E24" s="16" t="s">
        <v>62</v>
      </c>
      <c r="F24" s="16"/>
      <c r="G24" s="16" t="s">
        <v>84</v>
      </c>
      <c r="H24" s="16"/>
      <c r="I24" s="16"/>
      <c r="M24" s="16" t="s">
        <v>84</v>
      </c>
      <c r="N24" s="16"/>
      <c r="O24" s="16"/>
      <c r="P24" s="16"/>
      <c r="S24" s="16"/>
      <c r="T24" s="16">
        <v>1</v>
      </c>
      <c r="U24" s="16"/>
      <c r="V24" s="16"/>
      <c r="Y24" s="16" t="s">
        <v>160</v>
      </c>
      <c r="Z24" s="16"/>
      <c r="AC24" s="7" t="s">
        <v>138</v>
      </c>
      <c r="AD24" s="7" t="s">
        <v>88</v>
      </c>
      <c r="AE24" s="7">
        <f>VLOOKUP($AE$9,$D$9:$V$24,13,FALSE)</f>
        <v>0</v>
      </c>
      <c r="AK24" s="22">
        <v>15</v>
      </c>
      <c r="AL24" s="24" t="s">
        <v>10</v>
      </c>
      <c r="AM24" s="22" t="str">
        <f>IF(_type_of_Calc="時間",CL24+CS24+CZ24+DG24,"")</f>
        <v/>
      </c>
      <c r="AN24" s="22" t="str">
        <f>IF(_type_of_Calc="時間",CM24+CT24+DA24+DH24,"")</f>
        <v/>
      </c>
      <c r="AO24" s="22" t="str">
        <f>IF(_type_of_Calc="時間",CN24+CU24+DB24+DI24,"")</f>
        <v/>
      </c>
      <c r="AR24" s="22">
        <v>15</v>
      </c>
      <c r="AS24" s="24" t="s">
        <v>10</v>
      </c>
      <c r="AT24" s="22">
        <f ca="1">IF(_type_of_Calc="回数",CL51+CS51+CZ51+DG51,"")</f>
        <v>1.33</v>
      </c>
      <c r="AU24" s="22">
        <f ca="1">IF(_type_of_Calc="回数",CM51+CT51+DA51+DH51,"")</f>
        <v>1.33</v>
      </c>
      <c r="AV24" s="22">
        <f ca="1">IF(_type_of_Calc="回数",CN51+CU51+DB51+DI51,"")</f>
        <v>1.33</v>
      </c>
      <c r="AZ24" s="9">
        <v>15</v>
      </c>
      <c r="BA24" s="11">
        <f t="shared" si="26"/>
        <v>36892.145833333299</v>
      </c>
      <c r="BB24" s="9" cm="1">
        <f t="array" aca="1" ref="BB24" ca="1">INDIRECT(ADDRESS(2+$AZ24,1+MATCH($AE$9,INDIRECT($AE$16&amp;"!$B$2:$R$2"),0),1,1,$AE$16))</f>
        <v>0</v>
      </c>
      <c r="BC24" s="9" cm="1">
        <f t="array" aca="1" ref="BC24" ca="1">INDIRECT(ADDRESS(2+$AZ24,1+MATCH($AE$9,INDIRECT($AE$17&amp;"!$B$2:$R$2"),0),1,1,$AE$17))</f>
        <v>0</v>
      </c>
      <c r="BD24" s="9" cm="1">
        <f t="array" aca="1" ref="BD24" ca="1">INDIRECT(ADDRESS(2+$AZ24,1+MATCH($AE$9,INDIRECT($AE$18&amp;"!$B$2:$R$2"),0),1,1,$AE$18))</f>
        <v>0</v>
      </c>
      <c r="BH24" s="9">
        <v>15</v>
      </c>
      <c r="BI24" s="11">
        <f t="shared" si="27"/>
        <v>36892.145833333299</v>
      </c>
      <c r="BJ24" s="9" t="b">
        <f t="shared" ca="1" si="7"/>
        <v>1</v>
      </c>
      <c r="BK24" s="9" t="b">
        <f t="shared" ca="1" si="8"/>
        <v>1</v>
      </c>
      <c r="BL24" s="9" t="b">
        <f t="shared" ca="1" si="9"/>
        <v>1</v>
      </c>
      <c r="BO24" s="9">
        <v>15</v>
      </c>
      <c r="BP24" s="11">
        <f t="shared" si="28"/>
        <v>36892.145833333299</v>
      </c>
      <c r="BQ24" s="9" t="str">
        <f t="shared" ca="1" si="10"/>
        <v/>
      </c>
      <c r="BR24" s="9" t="str">
        <f t="shared" ca="1" si="11"/>
        <v/>
      </c>
      <c r="BS24" s="9" t="str">
        <f t="shared" ca="1" si="12"/>
        <v/>
      </c>
      <c r="BV24" s="9">
        <v>15</v>
      </c>
      <c r="BW24" s="11">
        <f t="shared" si="29"/>
        <v>36892.145833333299</v>
      </c>
      <c r="BX24" s="9" t="str">
        <f t="shared" ca="1" si="13"/>
        <v/>
      </c>
      <c r="BY24" s="9" t="str">
        <f t="shared" ca="1" si="14"/>
        <v/>
      </c>
      <c r="BZ24" s="9" t="str">
        <f t="shared" ca="1" si="15"/>
        <v/>
      </c>
      <c r="CC24" s="9">
        <v>15</v>
      </c>
      <c r="CD24" s="11">
        <f t="shared" si="30"/>
        <v>36892.145833333299</v>
      </c>
      <c r="CE24" s="9" t="str">
        <f t="shared" ca="1" si="16"/>
        <v/>
      </c>
      <c r="CF24" s="9" t="str">
        <f t="shared" ca="1" si="17"/>
        <v/>
      </c>
      <c r="CG24" s="9" t="str">
        <f t="shared" ca="1" si="18"/>
        <v/>
      </c>
      <c r="CJ24" s="9">
        <v>15</v>
      </c>
      <c r="CK24" s="11" t="s">
        <v>10</v>
      </c>
      <c r="CL24" s="9">
        <f ca="1">COUNTIF(BJ66:BJ69,TRUE)/4</f>
        <v>1</v>
      </c>
      <c r="CM24" s="9">
        <f t="shared" ref="CM24:CN24" ca="1" si="115">COUNTIF(BK66:BK69,TRUE)/4</f>
        <v>1</v>
      </c>
      <c r="CN24" s="9">
        <f t="shared" ca="1" si="115"/>
        <v>1</v>
      </c>
      <c r="CQ24" s="9">
        <v>15</v>
      </c>
      <c r="CR24" s="11" t="s">
        <v>10</v>
      </c>
      <c r="CS24" s="9">
        <f ca="1">COUNTIF(BQ66:BQ69,TRUE)/4</f>
        <v>0</v>
      </c>
      <c r="CT24" s="9">
        <f t="shared" ref="CT24" ca="1" si="116">COUNTIF(BR66:BR69,TRUE)/4</f>
        <v>0</v>
      </c>
      <c r="CU24" s="9">
        <f t="shared" ref="CU24" ca="1" si="117">COUNTIF(BS66:BS69,TRUE)/4</f>
        <v>0</v>
      </c>
      <c r="CX24" s="9">
        <v>15</v>
      </c>
      <c r="CY24" s="11" t="s">
        <v>10</v>
      </c>
      <c r="CZ24" s="9">
        <f ca="1">COUNTIF(BX66:BX69,TRUE)/4</f>
        <v>0</v>
      </c>
      <c r="DA24" s="9">
        <f t="shared" ref="DA24" ca="1" si="118">COUNTIF(BY66:BY69,TRUE)/4</f>
        <v>0</v>
      </c>
      <c r="DB24" s="9">
        <f t="shared" ref="DB24" ca="1" si="119">COUNTIF(BZ66:BZ69,TRUE)/4</f>
        <v>0</v>
      </c>
      <c r="DE24" s="9">
        <v>15</v>
      </c>
      <c r="DF24" s="11" t="s">
        <v>10</v>
      </c>
      <c r="DG24" s="9">
        <f ca="1">COUNTIF(CE66:CE69,TRUE)/4</f>
        <v>0</v>
      </c>
      <c r="DH24" s="9">
        <f t="shared" ref="DH24" ca="1" si="120">COUNTIF(CF66:CF69,TRUE)/4</f>
        <v>0</v>
      </c>
      <c r="DI24" s="9">
        <f t="shared" ref="DI24" ca="1" si="121">COUNTIF(CG66:CG69,TRUE)/4</f>
        <v>0</v>
      </c>
    </row>
    <row r="25" spans="4:113" ht="16.5" customHeight="1">
      <c r="AK25" s="22">
        <v>16</v>
      </c>
      <c r="AL25" s="24" t="s">
        <v>11</v>
      </c>
      <c r="AM25" s="22" t="str">
        <f>IF(_type_of_Calc="時間",CL25+CS25+CZ25+DG25,"")</f>
        <v/>
      </c>
      <c r="AN25" s="22" t="str">
        <f>IF(_type_of_Calc="時間",CM25+CT25+DA25+DH25,"")</f>
        <v/>
      </c>
      <c r="AO25" s="22" t="str">
        <f>IF(_type_of_Calc="時間",CN25+CU25+DB25+DI25,"")</f>
        <v/>
      </c>
      <c r="AR25" s="22">
        <v>16</v>
      </c>
      <c r="AS25" s="24" t="s">
        <v>11</v>
      </c>
      <c r="AT25" s="22">
        <f ca="1">IF(_type_of_Calc="回数",CL52+CS52+CZ52+DG52,"")</f>
        <v>1.33</v>
      </c>
      <c r="AU25" s="22">
        <f ca="1">IF(_type_of_Calc="回数",CM52+CT52+DA52+DH52,"")</f>
        <v>1.33</v>
      </c>
      <c r="AV25" s="22">
        <f ca="1">IF(_type_of_Calc="回数",CN52+CU52+DB52+DI52,"")</f>
        <v>1.33</v>
      </c>
      <c r="AZ25" s="9">
        <v>16</v>
      </c>
      <c r="BA25" s="11">
        <f t="shared" si="26"/>
        <v>36892.156249999964</v>
      </c>
      <c r="BB25" s="9" cm="1">
        <f t="array" aca="1" ref="BB25" ca="1">INDIRECT(ADDRESS(2+$AZ25,1+MATCH($AE$9,INDIRECT($AE$16&amp;"!$B$2:$R$2"),0),1,1,$AE$16))</f>
        <v>0</v>
      </c>
      <c r="BC25" s="9" cm="1">
        <f t="array" aca="1" ref="BC25" ca="1">INDIRECT(ADDRESS(2+$AZ25,1+MATCH($AE$9,INDIRECT($AE$17&amp;"!$B$2:$R$2"),0),1,1,$AE$17))</f>
        <v>0</v>
      </c>
      <c r="BD25" s="9" cm="1">
        <f t="array" aca="1" ref="BD25" ca="1">INDIRECT(ADDRESS(2+$AZ25,1+MATCH($AE$9,INDIRECT($AE$18&amp;"!$B$2:$R$2"),0),1,1,$AE$18))</f>
        <v>0</v>
      </c>
      <c r="BH25" s="9">
        <v>16</v>
      </c>
      <c r="BI25" s="11">
        <f t="shared" si="27"/>
        <v>36892.156249999964</v>
      </c>
      <c r="BJ25" s="9" t="b">
        <f t="shared" ca="1" si="7"/>
        <v>1</v>
      </c>
      <c r="BK25" s="9" t="b">
        <f t="shared" ca="1" si="8"/>
        <v>1</v>
      </c>
      <c r="BL25" s="9" t="b">
        <f t="shared" ca="1" si="9"/>
        <v>1</v>
      </c>
      <c r="BO25" s="9">
        <v>16</v>
      </c>
      <c r="BP25" s="11">
        <f t="shared" si="28"/>
        <v>36892.156249999964</v>
      </c>
      <c r="BQ25" s="9" t="str">
        <f t="shared" ca="1" si="10"/>
        <v/>
      </c>
      <c r="BR25" s="9" t="str">
        <f t="shared" ca="1" si="11"/>
        <v/>
      </c>
      <c r="BS25" s="9" t="str">
        <f t="shared" ca="1" si="12"/>
        <v/>
      </c>
      <c r="BV25" s="9">
        <v>16</v>
      </c>
      <c r="BW25" s="11">
        <f t="shared" si="29"/>
        <v>36892.156249999964</v>
      </c>
      <c r="BX25" s="9" t="str">
        <f t="shared" ca="1" si="13"/>
        <v/>
      </c>
      <c r="BY25" s="9" t="str">
        <f t="shared" ca="1" si="14"/>
        <v/>
      </c>
      <c r="BZ25" s="9" t="str">
        <f t="shared" ca="1" si="15"/>
        <v/>
      </c>
      <c r="CC25" s="9">
        <v>16</v>
      </c>
      <c r="CD25" s="11">
        <f t="shared" si="30"/>
        <v>36892.156249999964</v>
      </c>
      <c r="CE25" s="9" t="str">
        <f t="shared" ca="1" si="16"/>
        <v/>
      </c>
      <c r="CF25" s="9" t="str">
        <f t="shared" ca="1" si="17"/>
        <v/>
      </c>
      <c r="CG25" s="9" t="str">
        <f t="shared" ca="1" si="18"/>
        <v/>
      </c>
      <c r="CJ25" s="9">
        <v>16</v>
      </c>
      <c r="CK25" s="11" t="s">
        <v>11</v>
      </c>
      <c r="CL25" s="9">
        <f ca="1">COUNTIF(BJ70:BJ73,TRUE)/4</f>
        <v>1</v>
      </c>
      <c r="CM25" s="9">
        <f t="shared" ref="CM25:CN25" ca="1" si="122">COUNTIF(BK70:BK73,TRUE)/4</f>
        <v>1</v>
      </c>
      <c r="CN25" s="9">
        <f t="shared" ca="1" si="122"/>
        <v>1</v>
      </c>
      <c r="CQ25" s="9">
        <v>16</v>
      </c>
      <c r="CR25" s="11" t="s">
        <v>11</v>
      </c>
      <c r="CS25" s="9">
        <f ca="1">COUNTIF(BQ70:BQ73,TRUE)/4</f>
        <v>0</v>
      </c>
      <c r="CT25" s="9">
        <f t="shared" ref="CT25" ca="1" si="123">COUNTIF(BR70:BR73,TRUE)/4</f>
        <v>0</v>
      </c>
      <c r="CU25" s="9">
        <f t="shared" ref="CU25" ca="1" si="124">COUNTIF(BS70:BS73,TRUE)/4</f>
        <v>0</v>
      </c>
      <c r="CX25" s="9">
        <v>16</v>
      </c>
      <c r="CY25" s="11" t="s">
        <v>11</v>
      </c>
      <c r="CZ25" s="9">
        <f ca="1">COUNTIF(BX70:BX73,TRUE)/4</f>
        <v>0</v>
      </c>
      <c r="DA25" s="9">
        <f t="shared" ref="DA25" ca="1" si="125">COUNTIF(BY70:BY73,TRUE)/4</f>
        <v>0</v>
      </c>
      <c r="DB25" s="9">
        <f t="shared" ref="DB25" ca="1" si="126">COUNTIF(BZ70:BZ73,TRUE)/4</f>
        <v>0</v>
      </c>
      <c r="DE25" s="9">
        <v>16</v>
      </c>
      <c r="DF25" s="11" t="s">
        <v>11</v>
      </c>
      <c r="DG25" s="9">
        <f ca="1">COUNTIF(CE70:CE73,TRUE)/4</f>
        <v>0</v>
      </c>
      <c r="DH25" s="9">
        <f t="shared" ref="DH25" ca="1" si="127">COUNTIF(CF70:CF73,TRUE)/4</f>
        <v>0</v>
      </c>
      <c r="DI25" s="9">
        <f t="shared" ref="DI25" ca="1" si="128">COUNTIF(CG70:CG73,TRUE)/4</f>
        <v>0</v>
      </c>
    </row>
    <row r="26" spans="4:113" ht="16.5" customHeight="1">
      <c r="AC26" s="7" t="s">
        <v>139</v>
      </c>
      <c r="AD26" s="7" t="s">
        <v>88</v>
      </c>
      <c r="AE26" s="7">
        <f>VLOOKUP($AE$9,$D$9:$V$24,16,FALSE)</f>
        <v>0</v>
      </c>
      <c r="AK26" s="22">
        <v>17</v>
      </c>
      <c r="AL26" s="24" t="s">
        <v>12</v>
      </c>
      <c r="AM26" s="22" t="str">
        <f>IF(_type_of_Calc="時間",CL26+CS26+CZ26+DG26,"")</f>
        <v/>
      </c>
      <c r="AN26" s="22" t="str">
        <f>IF(_type_of_Calc="時間",CM26+CT26+DA26+DH26,"")</f>
        <v/>
      </c>
      <c r="AO26" s="22" t="str">
        <f>IF(_type_of_Calc="時間",CN26+CU26+DB26+DI26,"")</f>
        <v/>
      </c>
      <c r="AR26" s="22">
        <v>17</v>
      </c>
      <c r="AS26" s="24" t="s">
        <v>12</v>
      </c>
      <c r="AT26" s="22">
        <f ca="1">IF(_type_of_Calc="回数",CL53+CS53+CZ53+DG53,"")</f>
        <v>1.33</v>
      </c>
      <c r="AU26" s="22">
        <f ca="1">IF(_type_of_Calc="回数",CM53+CT53+DA53+DH53,"")</f>
        <v>1.33</v>
      </c>
      <c r="AV26" s="22">
        <f ca="1">IF(_type_of_Calc="回数",CN53+CU53+DB53+DI53,"")</f>
        <v>1.33</v>
      </c>
      <c r="AZ26" s="9">
        <v>17</v>
      </c>
      <c r="BA26" s="11">
        <f t="shared" si="26"/>
        <v>36892.166666666628</v>
      </c>
      <c r="BB26" s="9" cm="1">
        <f t="array" aca="1" ref="BB26" ca="1">INDIRECT(ADDRESS(2+$AZ26,1+MATCH($AE$9,INDIRECT($AE$16&amp;"!$B$2:$R$2"),0),1,1,$AE$16))</f>
        <v>0</v>
      </c>
      <c r="BC26" s="9" cm="1">
        <f t="array" aca="1" ref="BC26" ca="1">INDIRECT(ADDRESS(2+$AZ26,1+MATCH($AE$9,INDIRECT($AE$17&amp;"!$B$2:$R$2"),0),1,1,$AE$17))</f>
        <v>0</v>
      </c>
      <c r="BD26" s="9" cm="1">
        <f t="array" aca="1" ref="BD26" ca="1">INDIRECT(ADDRESS(2+$AZ26,1+MATCH($AE$9,INDIRECT($AE$18&amp;"!$B$2:$R$2"),0),1,1,$AE$18))</f>
        <v>0</v>
      </c>
      <c r="BH26" s="9">
        <v>17</v>
      </c>
      <c r="BI26" s="11">
        <f t="shared" si="27"/>
        <v>36892.166666666628</v>
      </c>
      <c r="BJ26" s="9" t="b">
        <f t="shared" ca="1" si="7"/>
        <v>1</v>
      </c>
      <c r="BK26" s="9" t="b">
        <f t="shared" ca="1" si="8"/>
        <v>1</v>
      </c>
      <c r="BL26" s="9" t="b">
        <f t="shared" ca="1" si="9"/>
        <v>1</v>
      </c>
      <c r="BO26" s="9">
        <v>17</v>
      </c>
      <c r="BP26" s="11">
        <f t="shared" si="28"/>
        <v>36892.166666666628</v>
      </c>
      <c r="BQ26" s="9" t="str">
        <f t="shared" ca="1" si="10"/>
        <v/>
      </c>
      <c r="BR26" s="9" t="str">
        <f t="shared" ca="1" si="11"/>
        <v/>
      </c>
      <c r="BS26" s="9" t="str">
        <f t="shared" ca="1" si="12"/>
        <v/>
      </c>
      <c r="BV26" s="9">
        <v>17</v>
      </c>
      <c r="BW26" s="11">
        <f t="shared" si="29"/>
        <v>36892.166666666628</v>
      </c>
      <c r="BX26" s="9" t="str">
        <f t="shared" ca="1" si="13"/>
        <v/>
      </c>
      <c r="BY26" s="9" t="str">
        <f t="shared" ca="1" si="14"/>
        <v/>
      </c>
      <c r="BZ26" s="9" t="str">
        <f t="shared" ca="1" si="15"/>
        <v/>
      </c>
      <c r="CC26" s="9">
        <v>17</v>
      </c>
      <c r="CD26" s="11">
        <f t="shared" si="30"/>
        <v>36892.166666666628</v>
      </c>
      <c r="CE26" s="9" t="str">
        <f t="shared" ca="1" si="16"/>
        <v/>
      </c>
      <c r="CF26" s="9" t="str">
        <f t="shared" ca="1" si="17"/>
        <v/>
      </c>
      <c r="CG26" s="9" t="str">
        <f t="shared" ca="1" si="18"/>
        <v/>
      </c>
      <c r="CJ26" s="9">
        <v>17</v>
      </c>
      <c r="CK26" s="11" t="s">
        <v>12</v>
      </c>
      <c r="CL26" s="9">
        <f ca="1">COUNTIF(BJ74:BJ77,TRUE)/4</f>
        <v>1</v>
      </c>
      <c r="CM26" s="9">
        <f t="shared" ref="CM26:CN26" ca="1" si="129">COUNTIF(BK74:BK77,TRUE)/4</f>
        <v>1</v>
      </c>
      <c r="CN26" s="9">
        <f t="shared" ca="1" si="129"/>
        <v>1</v>
      </c>
      <c r="CQ26" s="9">
        <v>17</v>
      </c>
      <c r="CR26" s="11" t="s">
        <v>12</v>
      </c>
      <c r="CS26" s="9">
        <f ca="1">COUNTIF(BQ74:BQ77,TRUE)/4</f>
        <v>0</v>
      </c>
      <c r="CT26" s="9">
        <f t="shared" ref="CT26" ca="1" si="130">COUNTIF(BR74:BR77,TRUE)/4</f>
        <v>0</v>
      </c>
      <c r="CU26" s="9">
        <f t="shared" ref="CU26" ca="1" si="131">COUNTIF(BS74:BS77,TRUE)/4</f>
        <v>0</v>
      </c>
      <c r="CX26" s="9">
        <v>17</v>
      </c>
      <c r="CY26" s="11" t="s">
        <v>12</v>
      </c>
      <c r="CZ26" s="9">
        <f ca="1">COUNTIF(BX74:BX77,TRUE)/4</f>
        <v>0</v>
      </c>
      <c r="DA26" s="9">
        <f t="shared" ref="DA26" ca="1" si="132">COUNTIF(BY74:BY77,TRUE)/4</f>
        <v>0</v>
      </c>
      <c r="DB26" s="9">
        <f t="shared" ref="DB26" ca="1" si="133">COUNTIF(BZ74:BZ77,TRUE)/4</f>
        <v>0</v>
      </c>
      <c r="DE26" s="9">
        <v>17</v>
      </c>
      <c r="DF26" s="11" t="s">
        <v>12</v>
      </c>
      <c r="DG26" s="9">
        <f ca="1">COUNTIF(CE74:CE77,TRUE)/4</f>
        <v>0</v>
      </c>
      <c r="DH26" s="9">
        <f t="shared" ref="DH26" ca="1" si="134">COUNTIF(CF74:CF77,TRUE)/4</f>
        <v>0</v>
      </c>
      <c r="DI26" s="9">
        <f t="shared" ref="DI26" ca="1" si="135">COUNTIF(CG74:CG77,TRUE)/4</f>
        <v>0</v>
      </c>
    </row>
    <row r="27" spans="4:113" ht="16.5" customHeight="1">
      <c r="AC27" s="7" t="s">
        <v>140</v>
      </c>
      <c r="AD27" s="7" t="s">
        <v>88</v>
      </c>
      <c r="AE27" s="7">
        <f>VLOOKUP($AE$9,$D$9:$V$24,17,FALSE)</f>
        <v>1</v>
      </c>
      <c r="AK27" s="22">
        <v>18</v>
      </c>
      <c r="AL27" s="24" t="s">
        <v>13</v>
      </c>
      <c r="AM27" s="22" t="str">
        <f>IF(_type_of_Calc="時間",CL27+CS27+CZ27+DG27,"")</f>
        <v/>
      </c>
      <c r="AN27" s="22" t="str">
        <f>IF(_type_of_Calc="時間",CM27+CT27+DA27+DH27,"")</f>
        <v/>
      </c>
      <c r="AO27" s="22" t="str">
        <f>IF(_type_of_Calc="時間",CN27+CU27+DB27+DI27,"")</f>
        <v/>
      </c>
      <c r="AR27" s="22">
        <v>18</v>
      </c>
      <c r="AS27" s="24" t="s">
        <v>13</v>
      </c>
      <c r="AT27" s="22">
        <f ca="1">IF(_type_of_Calc="回数",CL54+CS54+CZ54+DG54,"")</f>
        <v>1.33</v>
      </c>
      <c r="AU27" s="22">
        <f ca="1">IF(_type_of_Calc="回数",CM54+CT54+DA54+DH54,"")</f>
        <v>1.33</v>
      </c>
      <c r="AV27" s="22">
        <f ca="1">IF(_type_of_Calc="回数",CN54+CU54+DB54+DI54,"")</f>
        <v>1.33</v>
      </c>
      <c r="AZ27" s="9">
        <v>18</v>
      </c>
      <c r="BA27" s="11">
        <f t="shared" si="26"/>
        <v>36892.177083333292</v>
      </c>
      <c r="BB27" s="9" cm="1">
        <f t="array" aca="1" ref="BB27" ca="1">INDIRECT(ADDRESS(2+$AZ27,1+MATCH($AE$9,INDIRECT($AE$16&amp;"!$B$2:$R$2"),0),1,1,$AE$16))</f>
        <v>0</v>
      </c>
      <c r="BC27" s="9" cm="1">
        <f t="array" aca="1" ref="BC27" ca="1">INDIRECT(ADDRESS(2+$AZ27,1+MATCH($AE$9,INDIRECT($AE$17&amp;"!$B$2:$R$2"),0),1,1,$AE$17))</f>
        <v>0</v>
      </c>
      <c r="BD27" s="9" cm="1">
        <f t="array" aca="1" ref="BD27" ca="1">INDIRECT(ADDRESS(2+$AZ27,1+MATCH($AE$9,INDIRECT($AE$18&amp;"!$B$2:$R$2"),0),1,1,$AE$18))</f>
        <v>0</v>
      </c>
      <c r="BH27" s="9">
        <v>18</v>
      </c>
      <c r="BI27" s="11">
        <f t="shared" si="27"/>
        <v>36892.177083333292</v>
      </c>
      <c r="BJ27" s="9" t="b">
        <f t="shared" ca="1" si="7"/>
        <v>1</v>
      </c>
      <c r="BK27" s="9" t="b">
        <f t="shared" ca="1" si="8"/>
        <v>1</v>
      </c>
      <c r="BL27" s="9" t="b">
        <f t="shared" ca="1" si="9"/>
        <v>1</v>
      </c>
      <c r="BO27" s="9">
        <v>18</v>
      </c>
      <c r="BP27" s="11">
        <f t="shared" si="28"/>
        <v>36892.177083333292</v>
      </c>
      <c r="BQ27" s="9" t="str">
        <f t="shared" ca="1" si="10"/>
        <v/>
      </c>
      <c r="BR27" s="9" t="str">
        <f t="shared" ca="1" si="11"/>
        <v/>
      </c>
      <c r="BS27" s="9" t="str">
        <f t="shared" ca="1" si="12"/>
        <v/>
      </c>
      <c r="BV27" s="9">
        <v>18</v>
      </c>
      <c r="BW27" s="11">
        <f t="shared" si="29"/>
        <v>36892.177083333292</v>
      </c>
      <c r="BX27" s="9" t="str">
        <f t="shared" ca="1" si="13"/>
        <v/>
      </c>
      <c r="BY27" s="9" t="str">
        <f t="shared" ca="1" si="14"/>
        <v/>
      </c>
      <c r="BZ27" s="9" t="str">
        <f t="shared" ca="1" si="15"/>
        <v/>
      </c>
      <c r="CC27" s="9">
        <v>18</v>
      </c>
      <c r="CD27" s="11">
        <f t="shared" si="30"/>
        <v>36892.177083333292</v>
      </c>
      <c r="CE27" s="9" t="str">
        <f t="shared" ca="1" si="16"/>
        <v/>
      </c>
      <c r="CF27" s="9" t="str">
        <f t="shared" ca="1" si="17"/>
        <v/>
      </c>
      <c r="CG27" s="9" t="str">
        <f t="shared" ca="1" si="18"/>
        <v/>
      </c>
      <c r="CJ27" s="9">
        <v>18</v>
      </c>
      <c r="CK27" s="11" t="s">
        <v>13</v>
      </c>
      <c r="CL27" s="9">
        <f ca="1">COUNTIF(BJ78:BJ81,TRUE)/4</f>
        <v>1</v>
      </c>
      <c r="CM27" s="9">
        <f t="shared" ref="CM27:CN27" ca="1" si="136">COUNTIF(BK78:BK81,TRUE)/4</f>
        <v>1</v>
      </c>
      <c r="CN27" s="9">
        <f t="shared" ca="1" si="136"/>
        <v>1</v>
      </c>
      <c r="CQ27" s="9">
        <v>18</v>
      </c>
      <c r="CR27" s="11" t="s">
        <v>13</v>
      </c>
      <c r="CS27" s="9">
        <f ca="1">COUNTIF(BQ78:BQ81,TRUE)/4</f>
        <v>0</v>
      </c>
      <c r="CT27" s="9">
        <f t="shared" ref="CT27" ca="1" si="137">COUNTIF(BR78:BR81,TRUE)/4</f>
        <v>0</v>
      </c>
      <c r="CU27" s="9">
        <f t="shared" ref="CU27" ca="1" si="138">COUNTIF(BS78:BS81,TRUE)/4</f>
        <v>0</v>
      </c>
      <c r="CX27" s="9">
        <v>18</v>
      </c>
      <c r="CY27" s="11" t="s">
        <v>13</v>
      </c>
      <c r="CZ27" s="9">
        <f ca="1">COUNTIF(BX78:BX81,TRUE)/4</f>
        <v>0</v>
      </c>
      <c r="DA27" s="9">
        <f t="shared" ref="DA27" ca="1" si="139">COUNTIF(BY78:BY81,TRUE)/4</f>
        <v>0</v>
      </c>
      <c r="DB27" s="9">
        <f t="shared" ref="DB27" ca="1" si="140">COUNTIF(BZ78:BZ81,TRUE)/4</f>
        <v>0</v>
      </c>
      <c r="DE27" s="9">
        <v>18</v>
      </c>
      <c r="DF27" s="11" t="s">
        <v>13</v>
      </c>
      <c r="DG27" s="9">
        <f ca="1">COUNTIF(CE78:CE81,TRUE)/4</f>
        <v>0</v>
      </c>
      <c r="DH27" s="9">
        <f t="shared" ref="DH27" ca="1" si="141">COUNTIF(CF78:CF81,TRUE)/4</f>
        <v>0</v>
      </c>
      <c r="DI27" s="9">
        <f t="shared" ref="DI27" ca="1" si="142">COUNTIF(CG78:CG81,TRUE)/4</f>
        <v>0</v>
      </c>
    </row>
    <row r="28" spans="4:113" ht="16.5" customHeight="1">
      <c r="AC28" s="7" t="s">
        <v>141</v>
      </c>
      <c r="AD28" s="7" t="s">
        <v>88</v>
      </c>
      <c r="AE28" s="7">
        <f>VLOOKUP($AE$9,$D$9:$V$24,18,FALSE)</f>
        <v>0</v>
      </c>
      <c r="AK28" s="22">
        <v>19</v>
      </c>
      <c r="AL28" s="24" t="s">
        <v>14</v>
      </c>
      <c r="AM28" s="22" t="str">
        <f>IF(_type_of_Calc="時間",CL28+CS28+CZ28+DG28,"")</f>
        <v/>
      </c>
      <c r="AN28" s="22" t="str">
        <f>IF(_type_of_Calc="時間",CM28+CT28+DA28+DH28,"")</f>
        <v/>
      </c>
      <c r="AO28" s="22" t="str">
        <f>IF(_type_of_Calc="時間",CN28+CU28+DB28+DI28,"")</f>
        <v/>
      </c>
      <c r="AR28" s="22">
        <v>19</v>
      </c>
      <c r="AS28" s="24" t="s">
        <v>14</v>
      </c>
      <c r="AT28" s="22">
        <f ca="1">IF(_type_of_Calc="回数",CL55+CS55+CZ55+DG55,"")</f>
        <v>1.33</v>
      </c>
      <c r="AU28" s="22">
        <f ca="1">IF(_type_of_Calc="回数",CM55+CT55+DA55+DH55,"")</f>
        <v>1.33</v>
      </c>
      <c r="AV28" s="22">
        <f ca="1">IF(_type_of_Calc="回数",CN55+CU55+DB55+DI55,"")</f>
        <v>1.33</v>
      </c>
      <c r="AZ28" s="9">
        <v>19</v>
      </c>
      <c r="BA28" s="11">
        <f t="shared" si="26"/>
        <v>36892.187499999956</v>
      </c>
      <c r="BB28" s="9" cm="1">
        <f t="array" aca="1" ref="BB28" ca="1">INDIRECT(ADDRESS(2+$AZ28,1+MATCH($AE$9,INDIRECT($AE$16&amp;"!$B$2:$R$2"),0),1,1,$AE$16))</f>
        <v>0</v>
      </c>
      <c r="BC28" s="9" cm="1">
        <f t="array" aca="1" ref="BC28" ca="1">INDIRECT(ADDRESS(2+$AZ28,1+MATCH($AE$9,INDIRECT($AE$17&amp;"!$B$2:$R$2"),0),1,1,$AE$17))</f>
        <v>0</v>
      </c>
      <c r="BD28" s="9" cm="1">
        <f t="array" aca="1" ref="BD28" ca="1">INDIRECT(ADDRESS(2+$AZ28,1+MATCH($AE$9,INDIRECT($AE$18&amp;"!$B$2:$R$2"),0),1,1,$AE$18))</f>
        <v>0</v>
      </c>
      <c r="BH28" s="9">
        <v>19</v>
      </c>
      <c r="BI28" s="11">
        <f t="shared" si="27"/>
        <v>36892.187499999956</v>
      </c>
      <c r="BJ28" s="9" t="b">
        <f t="shared" ca="1" si="7"/>
        <v>1</v>
      </c>
      <c r="BK28" s="9" t="b">
        <f t="shared" ca="1" si="8"/>
        <v>1</v>
      </c>
      <c r="BL28" s="9" t="b">
        <f t="shared" ca="1" si="9"/>
        <v>1</v>
      </c>
      <c r="BO28" s="9">
        <v>19</v>
      </c>
      <c r="BP28" s="11">
        <f t="shared" si="28"/>
        <v>36892.187499999956</v>
      </c>
      <c r="BQ28" s="9" t="str">
        <f t="shared" ca="1" si="10"/>
        <v/>
      </c>
      <c r="BR28" s="9" t="str">
        <f t="shared" ca="1" si="11"/>
        <v/>
      </c>
      <c r="BS28" s="9" t="str">
        <f t="shared" ca="1" si="12"/>
        <v/>
      </c>
      <c r="BV28" s="9">
        <v>19</v>
      </c>
      <c r="BW28" s="11">
        <f t="shared" si="29"/>
        <v>36892.187499999956</v>
      </c>
      <c r="BX28" s="9" t="str">
        <f t="shared" ca="1" si="13"/>
        <v/>
      </c>
      <c r="BY28" s="9" t="str">
        <f t="shared" ca="1" si="14"/>
        <v/>
      </c>
      <c r="BZ28" s="9" t="str">
        <f t="shared" ca="1" si="15"/>
        <v/>
      </c>
      <c r="CC28" s="9">
        <v>19</v>
      </c>
      <c r="CD28" s="11">
        <f t="shared" si="30"/>
        <v>36892.187499999956</v>
      </c>
      <c r="CE28" s="9" t="str">
        <f t="shared" ca="1" si="16"/>
        <v/>
      </c>
      <c r="CF28" s="9" t="str">
        <f t="shared" ca="1" si="17"/>
        <v/>
      </c>
      <c r="CG28" s="9" t="str">
        <f t="shared" ca="1" si="18"/>
        <v/>
      </c>
      <c r="CJ28" s="9">
        <v>19</v>
      </c>
      <c r="CK28" s="11" t="s">
        <v>14</v>
      </c>
      <c r="CL28" s="9">
        <f ca="1">COUNTIF(BJ82:BJ85,TRUE)/4</f>
        <v>1</v>
      </c>
      <c r="CM28" s="9">
        <f t="shared" ref="CM28:CN28" ca="1" si="143">COUNTIF(BK82:BK85,TRUE)/4</f>
        <v>1</v>
      </c>
      <c r="CN28" s="9">
        <f t="shared" ca="1" si="143"/>
        <v>1</v>
      </c>
      <c r="CQ28" s="9">
        <v>19</v>
      </c>
      <c r="CR28" s="11" t="s">
        <v>14</v>
      </c>
      <c r="CS28" s="9">
        <f ca="1">COUNTIF(BQ82:BQ85,TRUE)/4</f>
        <v>0</v>
      </c>
      <c r="CT28" s="9">
        <f t="shared" ref="CT28" ca="1" si="144">COUNTIF(BR82:BR85,TRUE)/4</f>
        <v>0</v>
      </c>
      <c r="CU28" s="9">
        <f t="shared" ref="CU28" ca="1" si="145">COUNTIF(BS82:BS85,TRUE)/4</f>
        <v>0</v>
      </c>
      <c r="CX28" s="9">
        <v>19</v>
      </c>
      <c r="CY28" s="11" t="s">
        <v>14</v>
      </c>
      <c r="CZ28" s="9">
        <f ca="1">COUNTIF(BX82:BX85,TRUE)/4</f>
        <v>0</v>
      </c>
      <c r="DA28" s="9">
        <f t="shared" ref="DA28" ca="1" si="146">COUNTIF(BY82:BY85,TRUE)/4</f>
        <v>0</v>
      </c>
      <c r="DB28" s="9">
        <f t="shared" ref="DB28" ca="1" si="147">COUNTIF(BZ82:BZ85,TRUE)/4</f>
        <v>0</v>
      </c>
      <c r="DE28" s="9">
        <v>19</v>
      </c>
      <c r="DF28" s="11" t="s">
        <v>14</v>
      </c>
      <c r="DG28" s="9">
        <f ca="1">COUNTIF(CE82:CE85,TRUE)/4</f>
        <v>0</v>
      </c>
      <c r="DH28" s="9">
        <f t="shared" ref="DH28" ca="1" si="148">COUNTIF(CF82:CF85,TRUE)/4</f>
        <v>0</v>
      </c>
      <c r="DI28" s="9">
        <f t="shared" ref="DI28" ca="1" si="149">COUNTIF(CG82:CG85,TRUE)/4</f>
        <v>0</v>
      </c>
    </row>
    <row r="29" spans="4:113" ht="16.5" customHeight="1">
      <c r="AC29" s="7" t="s">
        <v>142</v>
      </c>
      <c r="AD29" s="7" t="s">
        <v>88</v>
      </c>
      <c r="AE29" s="7">
        <f>VLOOKUP($AE$9,$D$9:$V$24,19,FALSE)</f>
        <v>0</v>
      </c>
      <c r="AK29" s="22">
        <v>20</v>
      </c>
      <c r="AL29" s="24" t="s">
        <v>15</v>
      </c>
      <c r="AM29" s="22" t="str">
        <f>IF(_type_of_Calc="時間",CL29+CS29+CZ29+DG29,"")</f>
        <v/>
      </c>
      <c r="AN29" s="22" t="str">
        <f>IF(_type_of_Calc="時間",CM29+CT29+DA29+DH29,"")</f>
        <v/>
      </c>
      <c r="AO29" s="22" t="str">
        <f>IF(_type_of_Calc="時間",CN29+CU29+DB29+DI29,"")</f>
        <v/>
      </c>
      <c r="AR29" s="22">
        <v>20</v>
      </c>
      <c r="AS29" s="24" t="s">
        <v>15</v>
      </c>
      <c r="AT29" s="22">
        <f ca="1">IF(_type_of_Calc="回数",CL56+CS56+CZ56+DG56,"")</f>
        <v>1.33</v>
      </c>
      <c r="AU29" s="22">
        <f ca="1">IF(_type_of_Calc="回数",CM56+CT56+DA56+DH56,"")</f>
        <v>1.33</v>
      </c>
      <c r="AV29" s="22">
        <f ca="1">IF(_type_of_Calc="回数",CN56+CU56+DB56+DI56,"")</f>
        <v>1.33</v>
      </c>
      <c r="AZ29" s="9">
        <v>20</v>
      </c>
      <c r="BA29" s="11">
        <f t="shared" si="26"/>
        <v>36892.197916666621</v>
      </c>
      <c r="BB29" s="9" cm="1">
        <f t="array" aca="1" ref="BB29" ca="1">INDIRECT(ADDRESS(2+$AZ29,1+MATCH($AE$9,INDIRECT($AE$16&amp;"!$B$2:$R$2"),0),1,1,$AE$16))</f>
        <v>0</v>
      </c>
      <c r="BC29" s="9" cm="1">
        <f t="array" aca="1" ref="BC29" ca="1">INDIRECT(ADDRESS(2+$AZ29,1+MATCH($AE$9,INDIRECT($AE$17&amp;"!$B$2:$R$2"),0),1,1,$AE$17))</f>
        <v>0</v>
      </c>
      <c r="BD29" s="9" cm="1">
        <f t="array" aca="1" ref="BD29" ca="1">INDIRECT(ADDRESS(2+$AZ29,1+MATCH($AE$9,INDIRECT($AE$18&amp;"!$B$2:$R$2"),0),1,1,$AE$18))</f>
        <v>0</v>
      </c>
      <c r="BH29" s="9">
        <v>20</v>
      </c>
      <c r="BI29" s="11">
        <f t="shared" si="27"/>
        <v>36892.197916666621</v>
      </c>
      <c r="BJ29" s="9" t="b">
        <f t="shared" ca="1" si="7"/>
        <v>1</v>
      </c>
      <c r="BK29" s="9" t="b">
        <f t="shared" ca="1" si="8"/>
        <v>1</v>
      </c>
      <c r="BL29" s="9" t="b">
        <f t="shared" ca="1" si="9"/>
        <v>1</v>
      </c>
      <c r="BO29" s="9">
        <v>20</v>
      </c>
      <c r="BP29" s="11">
        <f t="shared" si="28"/>
        <v>36892.197916666621</v>
      </c>
      <c r="BQ29" s="9" t="str">
        <f t="shared" ca="1" si="10"/>
        <v/>
      </c>
      <c r="BR29" s="9" t="str">
        <f t="shared" ca="1" si="11"/>
        <v/>
      </c>
      <c r="BS29" s="9" t="str">
        <f t="shared" ca="1" si="12"/>
        <v/>
      </c>
      <c r="BV29" s="9">
        <v>20</v>
      </c>
      <c r="BW29" s="11">
        <f t="shared" si="29"/>
        <v>36892.197916666621</v>
      </c>
      <c r="BX29" s="9" t="str">
        <f t="shared" ca="1" si="13"/>
        <v/>
      </c>
      <c r="BY29" s="9" t="str">
        <f t="shared" ca="1" si="14"/>
        <v/>
      </c>
      <c r="BZ29" s="9" t="str">
        <f t="shared" ca="1" si="15"/>
        <v/>
      </c>
      <c r="CC29" s="9">
        <v>20</v>
      </c>
      <c r="CD29" s="11">
        <f t="shared" si="30"/>
        <v>36892.197916666621</v>
      </c>
      <c r="CE29" s="9" t="str">
        <f t="shared" ca="1" si="16"/>
        <v/>
      </c>
      <c r="CF29" s="9" t="str">
        <f t="shared" ca="1" si="17"/>
        <v/>
      </c>
      <c r="CG29" s="9" t="str">
        <f t="shared" ca="1" si="18"/>
        <v/>
      </c>
      <c r="CJ29" s="9">
        <v>20</v>
      </c>
      <c r="CK29" s="11" t="s">
        <v>15</v>
      </c>
      <c r="CL29" s="9">
        <f ca="1">COUNTIF(BJ86:BJ89,TRUE)/4</f>
        <v>1</v>
      </c>
      <c r="CM29" s="9">
        <f t="shared" ref="CM29:CN29" ca="1" si="150">COUNTIF(BK86:BK89,TRUE)/4</f>
        <v>1</v>
      </c>
      <c r="CN29" s="9">
        <f t="shared" ca="1" si="150"/>
        <v>1</v>
      </c>
      <c r="CQ29" s="9">
        <v>20</v>
      </c>
      <c r="CR29" s="11" t="s">
        <v>15</v>
      </c>
      <c r="CS29" s="9">
        <f ca="1">COUNTIF(BQ86:BQ89,TRUE)/4</f>
        <v>0</v>
      </c>
      <c r="CT29" s="9">
        <f t="shared" ref="CT29" ca="1" si="151">COUNTIF(BR86:BR89,TRUE)/4</f>
        <v>0</v>
      </c>
      <c r="CU29" s="9">
        <f t="shared" ref="CU29" ca="1" si="152">COUNTIF(BS86:BS89,TRUE)/4</f>
        <v>0</v>
      </c>
      <c r="CX29" s="9">
        <v>20</v>
      </c>
      <c r="CY29" s="11" t="s">
        <v>15</v>
      </c>
      <c r="CZ29" s="9">
        <f ca="1">COUNTIF(BX86:BX89,TRUE)/4</f>
        <v>0</v>
      </c>
      <c r="DA29" s="9">
        <f t="shared" ref="DA29" ca="1" si="153">COUNTIF(BY86:BY89,TRUE)/4</f>
        <v>0</v>
      </c>
      <c r="DB29" s="9">
        <f t="shared" ref="DB29" ca="1" si="154">COUNTIF(BZ86:BZ89,TRUE)/4</f>
        <v>0</v>
      </c>
      <c r="DE29" s="9">
        <v>20</v>
      </c>
      <c r="DF29" s="11" t="s">
        <v>15</v>
      </c>
      <c r="DG29" s="9">
        <f ca="1">COUNTIF(CE86:CE89,TRUE)/4</f>
        <v>0</v>
      </c>
      <c r="DH29" s="9">
        <f t="shared" ref="DH29" ca="1" si="155">COUNTIF(CF86:CF89,TRUE)/4</f>
        <v>0</v>
      </c>
      <c r="DI29" s="9">
        <f t="shared" ref="DI29" ca="1" si="156">COUNTIF(CG86:CG89,TRUE)/4</f>
        <v>0</v>
      </c>
    </row>
    <row r="30" spans="4:113" ht="16.5" customHeight="1">
      <c r="AK30" s="22">
        <v>21</v>
      </c>
      <c r="AL30" s="24" t="s">
        <v>16</v>
      </c>
      <c r="AM30" s="22" t="str">
        <f>IF(_type_of_Calc="時間",CL30+CS30+CZ30+DG30,"")</f>
        <v/>
      </c>
      <c r="AN30" s="22" t="str">
        <f>IF(_type_of_Calc="時間",CM30+CT30+DA30+DH30,"")</f>
        <v/>
      </c>
      <c r="AO30" s="22" t="str">
        <f>IF(_type_of_Calc="時間",CN30+CU30+DB30+DI30,"")</f>
        <v/>
      </c>
      <c r="AR30" s="22">
        <v>21</v>
      </c>
      <c r="AS30" s="24" t="s">
        <v>16</v>
      </c>
      <c r="AT30" s="22">
        <f ca="1">IF(_type_of_Calc="回数",CL57+CS57+CZ57+DG57,"")</f>
        <v>1.33</v>
      </c>
      <c r="AU30" s="22">
        <f ca="1">IF(_type_of_Calc="回数",CM57+CT57+DA57+DH57,"")</f>
        <v>1.33</v>
      </c>
      <c r="AV30" s="22">
        <f ca="1">IF(_type_of_Calc="回数",CN57+CU57+DB57+DI57,"")</f>
        <v>1.33</v>
      </c>
      <c r="AZ30" s="9">
        <v>21</v>
      </c>
      <c r="BA30" s="11">
        <f t="shared" si="26"/>
        <v>36892.208333333285</v>
      </c>
      <c r="BB30" s="9" cm="1">
        <f t="array" aca="1" ref="BB30" ca="1">INDIRECT(ADDRESS(2+$AZ30,1+MATCH($AE$9,INDIRECT($AE$16&amp;"!$B$2:$R$2"),0),1,1,$AE$16))</f>
        <v>0</v>
      </c>
      <c r="BC30" s="9" cm="1">
        <f t="array" aca="1" ref="BC30" ca="1">INDIRECT(ADDRESS(2+$AZ30,1+MATCH($AE$9,INDIRECT($AE$17&amp;"!$B$2:$R$2"),0),1,1,$AE$17))</f>
        <v>0</v>
      </c>
      <c r="BD30" s="9" cm="1">
        <f t="array" aca="1" ref="BD30" ca="1">INDIRECT(ADDRESS(2+$AZ30,1+MATCH($AE$9,INDIRECT($AE$18&amp;"!$B$2:$R$2"),0),1,1,$AE$18))</f>
        <v>0</v>
      </c>
      <c r="BH30" s="9">
        <v>21</v>
      </c>
      <c r="BI30" s="11">
        <f t="shared" si="27"/>
        <v>36892.208333333285</v>
      </c>
      <c r="BJ30" s="9" t="b">
        <f t="shared" ca="1" si="7"/>
        <v>1</v>
      </c>
      <c r="BK30" s="9" t="b">
        <f t="shared" ca="1" si="8"/>
        <v>1</v>
      </c>
      <c r="BL30" s="9" t="b">
        <f t="shared" ca="1" si="9"/>
        <v>1</v>
      </c>
      <c r="BO30" s="9">
        <v>21</v>
      </c>
      <c r="BP30" s="11">
        <f t="shared" si="28"/>
        <v>36892.208333333285</v>
      </c>
      <c r="BQ30" s="9" t="str">
        <f t="shared" ca="1" si="10"/>
        <v/>
      </c>
      <c r="BR30" s="9" t="str">
        <f t="shared" ca="1" si="11"/>
        <v/>
      </c>
      <c r="BS30" s="9" t="str">
        <f t="shared" ca="1" si="12"/>
        <v/>
      </c>
      <c r="BV30" s="9">
        <v>21</v>
      </c>
      <c r="BW30" s="11">
        <f t="shared" si="29"/>
        <v>36892.208333333285</v>
      </c>
      <c r="BX30" s="9" t="str">
        <f t="shared" ca="1" si="13"/>
        <v/>
      </c>
      <c r="BY30" s="9" t="str">
        <f t="shared" ca="1" si="14"/>
        <v/>
      </c>
      <c r="BZ30" s="9" t="str">
        <f t="shared" ca="1" si="15"/>
        <v/>
      </c>
      <c r="CC30" s="9">
        <v>21</v>
      </c>
      <c r="CD30" s="11">
        <f t="shared" si="30"/>
        <v>36892.208333333285</v>
      </c>
      <c r="CE30" s="9" t="str">
        <f t="shared" ca="1" si="16"/>
        <v/>
      </c>
      <c r="CF30" s="9" t="str">
        <f t="shared" ca="1" si="17"/>
        <v/>
      </c>
      <c r="CG30" s="9" t="str">
        <f t="shared" ca="1" si="18"/>
        <v/>
      </c>
      <c r="CJ30" s="9">
        <v>21</v>
      </c>
      <c r="CK30" s="11" t="s">
        <v>16</v>
      </c>
      <c r="CL30" s="9">
        <f ca="1">COUNTIF(BJ90:BJ93,TRUE)/4</f>
        <v>1</v>
      </c>
      <c r="CM30" s="9">
        <f t="shared" ref="CM30:CN30" ca="1" si="157">COUNTIF(BK90:BK93,TRUE)/4</f>
        <v>1</v>
      </c>
      <c r="CN30" s="9">
        <f t="shared" ca="1" si="157"/>
        <v>1</v>
      </c>
      <c r="CQ30" s="9">
        <v>21</v>
      </c>
      <c r="CR30" s="11" t="s">
        <v>16</v>
      </c>
      <c r="CS30" s="9">
        <f ca="1">COUNTIF(BQ90:BQ93,TRUE)/4</f>
        <v>0</v>
      </c>
      <c r="CT30" s="9">
        <f t="shared" ref="CT30" ca="1" si="158">COUNTIF(BR90:BR93,TRUE)/4</f>
        <v>0</v>
      </c>
      <c r="CU30" s="9">
        <f t="shared" ref="CU30" ca="1" si="159">COUNTIF(BS90:BS93,TRUE)/4</f>
        <v>0</v>
      </c>
      <c r="CX30" s="9">
        <v>21</v>
      </c>
      <c r="CY30" s="11" t="s">
        <v>16</v>
      </c>
      <c r="CZ30" s="9">
        <f ca="1">COUNTIF(BX90:BX93,TRUE)/4</f>
        <v>0</v>
      </c>
      <c r="DA30" s="9">
        <f t="shared" ref="DA30" ca="1" si="160">COUNTIF(BY90:BY93,TRUE)/4</f>
        <v>0</v>
      </c>
      <c r="DB30" s="9">
        <f t="shared" ref="DB30" ca="1" si="161">COUNTIF(BZ90:BZ93,TRUE)/4</f>
        <v>0</v>
      </c>
      <c r="DE30" s="9">
        <v>21</v>
      </c>
      <c r="DF30" s="11" t="s">
        <v>16</v>
      </c>
      <c r="DG30" s="9">
        <f ca="1">COUNTIF(CE90:CE93,TRUE)/4</f>
        <v>0</v>
      </c>
      <c r="DH30" s="9">
        <f t="shared" ref="DH30" ca="1" si="162">COUNTIF(CF90:CF93,TRUE)/4</f>
        <v>0</v>
      </c>
      <c r="DI30" s="9">
        <f t="shared" ref="DI30" ca="1" si="163">COUNTIF(CG90:CG93,TRUE)/4</f>
        <v>0</v>
      </c>
    </row>
    <row r="31" spans="4:113" ht="16.5" customHeight="1">
      <c r="AK31" s="22">
        <v>22</v>
      </c>
      <c r="AL31" s="24" t="s">
        <v>17</v>
      </c>
      <c r="AM31" s="22" t="str">
        <f>IF(_type_of_Calc="時間",CL31+CS31+CZ31+DG31,"")</f>
        <v/>
      </c>
      <c r="AN31" s="22" t="str">
        <f>IF(_type_of_Calc="時間",CM31+CT31+DA31+DH31,"")</f>
        <v/>
      </c>
      <c r="AO31" s="22" t="str">
        <f>IF(_type_of_Calc="時間",CN31+CU31+DB31+DI31,"")</f>
        <v/>
      </c>
      <c r="AR31" s="22">
        <v>22</v>
      </c>
      <c r="AS31" s="24" t="s">
        <v>17</v>
      </c>
      <c r="AT31" s="22">
        <f ca="1">IF(_type_of_Calc="回数",CL58+CS58+CZ58+DG58,"")</f>
        <v>1.33</v>
      </c>
      <c r="AU31" s="22">
        <f ca="1">IF(_type_of_Calc="回数",CM58+CT58+DA58+DH58,"")</f>
        <v>1.33</v>
      </c>
      <c r="AV31" s="22">
        <f ca="1">IF(_type_of_Calc="回数",CN58+CU58+DB58+DI58,"")</f>
        <v>1.33</v>
      </c>
      <c r="AZ31" s="9">
        <v>22</v>
      </c>
      <c r="BA31" s="11">
        <f t="shared" si="26"/>
        <v>36892.218749999949</v>
      </c>
      <c r="BB31" s="9" cm="1">
        <f t="array" aca="1" ref="BB31" ca="1">INDIRECT(ADDRESS(2+$AZ31,1+MATCH($AE$9,INDIRECT($AE$16&amp;"!$B$2:$R$2"),0),1,1,$AE$16))</f>
        <v>0</v>
      </c>
      <c r="BC31" s="9" cm="1">
        <f t="array" aca="1" ref="BC31" ca="1">INDIRECT(ADDRESS(2+$AZ31,1+MATCH($AE$9,INDIRECT($AE$17&amp;"!$B$2:$R$2"),0),1,1,$AE$17))</f>
        <v>0</v>
      </c>
      <c r="BD31" s="9" cm="1">
        <f t="array" aca="1" ref="BD31" ca="1">INDIRECT(ADDRESS(2+$AZ31,1+MATCH($AE$9,INDIRECT($AE$18&amp;"!$B$2:$R$2"),0),1,1,$AE$18))</f>
        <v>0</v>
      </c>
      <c r="BH31" s="9">
        <v>22</v>
      </c>
      <c r="BI31" s="11">
        <f t="shared" si="27"/>
        <v>36892.218749999949</v>
      </c>
      <c r="BJ31" s="9" t="b">
        <f t="shared" ca="1" si="7"/>
        <v>1</v>
      </c>
      <c r="BK31" s="9" t="b">
        <f t="shared" ca="1" si="8"/>
        <v>1</v>
      </c>
      <c r="BL31" s="9" t="b">
        <f t="shared" ca="1" si="9"/>
        <v>1</v>
      </c>
      <c r="BO31" s="9">
        <v>22</v>
      </c>
      <c r="BP31" s="11">
        <f t="shared" si="28"/>
        <v>36892.218749999949</v>
      </c>
      <c r="BQ31" s="9" t="str">
        <f t="shared" ca="1" si="10"/>
        <v/>
      </c>
      <c r="BR31" s="9" t="str">
        <f t="shared" ca="1" si="11"/>
        <v/>
      </c>
      <c r="BS31" s="9" t="str">
        <f t="shared" ca="1" si="12"/>
        <v/>
      </c>
      <c r="BV31" s="9">
        <v>22</v>
      </c>
      <c r="BW31" s="11">
        <f t="shared" si="29"/>
        <v>36892.218749999949</v>
      </c>
      <c r="BX31" s="9" t="str">
        <f t="shared" ca="1" si="13"/>
        <v/>
      </c>
      <c r="BY31" s="9" t="str">
        <f t="shared" ca="1" si="14"/>
        <v/>
      </c>
      <c r="BZ31" s="9" t="str">
        <f t="shared" ca="1" si="15"/>
        <v/>
      </c>
      <c r="CC31" s="9">
        <v>22</v>
      </c>
      <c r="CD31" s="11">
        <f t="shared" si="30"/>
        <v>36892.218749999949</v>
      </c>
      <c r="CE31" s="9" t="str">
        <f t="shared" ca="1" si="16"/>
        <v/>
      </c>
      <c r="CF31" s="9" t="str">
        <f t="shared" ca="1" si="17"/>
        <v/>
      </c>
      <c r="CG31" s="9" t="str">
        <f t="shared" ca="1" si="18"/>
        <v/>
      </c>
      <c r="CJ31" s="9">
        <v>22</v>
      </c>
      <c r="CK31" s="11" t="s">
        <v>17</v>
      </c>
      <c r="CL31" s="9">
        <f ca="1">COUNTIF(BJ94:BJ97,TRUE)/4</f>
        <v>1</v>
      </c>
      <c r="CM31" s="9">
        <f t="shared" ref="CM31:CN31" ca="1" si="164">COUNTIF(BK94:BK97,TRUE)/4</f>
        <v>1</v>
      </c>
      <c r="CN31" s="9">
        <f t="shared" ca="1" si="164"/>
        <v>1</v>
      </c>
      <c r="CQ31" s="9">
        <v>22</v>
      </c>
      <c r="CR31" s="11" t="s">
        <v>17</v>
      </c>
      <c r="CS31" s="9">
        <f ca="1">COUNTIF(BQ94:BQ97,TRUE)/4</f>
        <v>0</v>
      </c>
      <c r="CT31" s="9">
        <f t="shared" ref="CT31" ca="1" si="165">COUNTIF(BR94:BR97,TRUE)/4</f>
        <v>0</v>
      </c>
      <c r="CU31" s="9">
        <f t="shared" ref="CU31" ca="1" si="166">COUNTIF(BS94:BS97,TRUE)/4</f>
        <v>0</v>
      </c>
      <c r="CX31" s="9">
        <v>22</v>
      </c>
      <c r="CY31" s="11" t="s">
        <v>17</v>
      </c>
      <c r="CZ31" s="9">
        <f ca="1">COUNTIF(BX94:BX97,TRUE)/4</f>
        <v>0</v>
      </c>
      <c r="DA31" s="9">
        <f t="shared" ref="DA31" ca="1" si="167">COUNTIF(BY94:BY97,TRUE)/4</f>
        <v>0</v>
      </c>
      <c r="DB31" s="9">
        <f t="shared" ref="DB31" ca="1" si="168">COUNTIF(BZ94:BZ97,TRUE)/4</f>
        <v>0</v>
      </c>
      <c r="DE31" s="9">
        <v>22</v>
      </c>
      <c r="DF31" s="11" t="s">
        <v>17</v>
      </c>
      <c r="DG31" s="9">
        <f ca="1">COUNTIF(CE94:CE97,TRUE)/4</f>
        <v>0</v>
      </c>
      <c r="DH31" s="9">
        <f t="shared" ref="DH31" ca="1" si="169">COUNTIF(CF94:CF97,TRUE)/4</f>
        <v>0</v>
      </c>
      <c r="DI31" s="9">
        <f t="shared" ref="DI31" ca="1" si="170">COUNTIF(CG94:CG97,TRUE)/4</f>
        <v>0</v>
      </c>
    </row>
    <row r="32" spans="4:113" ht="16.5" customHeight="1">
      <c r="AK32" s="22">
        <v>23</v>
      </c>
      <c r="AL32" s="24" t="s">
        <v>18</v>
      </c>
      <c r="AM32" s="22" t="str">
        <f>IF(_type_of_Calc="時間",CL32+CS32+CZ32+DG32,"")</f>
        <v/>
      </c>
      <c r="AN32" s="22" t="str">
        <f>IF(_type_of_Calc="時間",CM32+CT32+DA32+DH32,"")</f>
        <v/>
      </c>
      <c r="AO32" s="22" t="str">
        <f>IF(_type_of_Calc="時間",CN32+CU32+DB32+DI32,"")</f>
        <v/>
      </c>
      <c r="AR32" s="22">
        <v>23</v>
      </c>
      <c r="AS32" s="24" t="s">
        <v>18</v>
      </c>
      <c r="AT32" s="22">
        <f ca="1">IF(_type_of_Calc="回数",CL59+CS59+CZ59+DG59,"")</f>
        <v>1.33</v>
      </c>
      <c r="AU32" s="22">
        <f ca="1">IF(_type_of_Calc="回数",CM59+CT59+DA59+DH59,"")</f>
        <v>1.33</v>
      </c>
      <c r="AV32" s="22">
        <f ca="1">IF(_type_of_Calc="回数",CN59+CU59+DB59+DI59,"")</f>
        <v>1.33</v>
      </c>
      <c r="AZ32" s="9">
        <v>23</v>
      </c>
      <c r="BA32" s="11">
        <f t="shared" si="26"/>
        <v>36892.229166666613</v>
      </c>
      <c r="BB32" s="9" cm="1">
        <f t="array" aca="1" ref="BB32" ca="1">INDIRECT(ADDRESS(2+$AZ32,1+MATCH($AE$9,INDIRECT($AE$16&amp;"!$B$2:$R$2"),0),1,1,$AE$16))</f>
        <v>0</v>
      </c>
      <c r="BC32" s="9" cm="1">
        <f t="array" aca="1" ref="BC32" ca="1">INDIRECT(ADDRESS(2+$AZ32,1+MATCH($AE$9,INDIRECT($AE$17&amp;"!$B$2:$R$2"),0),1,1,$AE$17))</f>
        <v>0</v>
      </c>
      <c r="BD32" s="9" cm="1">
        <f t="array" aca="1" ref="BD32" ca="1">INDIRECT(ADDRESS(2+$AZ32,1+MATCH($AE$9,INDIRECT($AE$18&amp;"!$B$2:$R$2"),0),1,1,$AE$18))</f>
        <v>0</v>
      </c>
      <c r="BH32" s="9">
        <v>23</v>
      </c>
      <c r="BI32" s="11">
        <f t="shared" si="27"/>
        <v>36892.229166666613</v>
      </c>
      <c r="BJ32" s="9" t="b">
        <f t="shared" ca="1" si="7"/>
        <v>1</v>
      </c>
      <c r="BK32" s="9" t="b">
        <f t="shared" ca="1" si="8"/>
        <v>1</v>
      </c>
      <c r="BL32" s="9" t="b">
        <f t="shared" ca="1" si="9"/>
        <v>1</v>
      </c>
      <c r="BO32" s="9">
        <v>23</v>
      </c>
      <c r="BP32" s="11">
        <f t="shared" si="28"/>
        <v>36892.229166666613</v>
      </c>
      <c r="BQ32" s="9" t="str">
        <f t="shared" ca="1" si="10"/>
        <v/>
      </c>
      <c r="BR32" s="9" t="str">
        <f t="shared" ca="1" si="11"/>
        <v/>
      </c>
      <c r="BS32" s="9" t="str">
        <f t="shared" ca="1" si="12"/>
        <v/>
      </c>
      <c r="BV32" s="9">
        <v>23</v>
      </c>
      <c r="BW32" s="11">
        <f t="shared" si="29"/>
        <v>36892.229166666613</v>
      </c>
      <c r="BX32" s="9" t="str">
        <f t="shared" ca="1" si="13"/>
        <v/>
      </c>
      <c r="BY32" s="9" t="str">
        <f t="shared" ca="1" si="14"/>
        <v/>
      </c>
      <c r="BZ32" s="9" t="str">
        <f t="shared" ca="1" si="15"/>
        <v/>
      </c>
      <c r="CC32" s="9">
        <v>23</v>
      </c>
      <c r="CD32" s="11">
        <f t="shared" si="30"/>
        <v>36892.229166666613</v>
      </c>
      <c r="CE32" s="9" t="str">
        <f t="shared" ca="1" si="16"/>
        <v/>
      </c>
      <c r="CF32" s="9" t="str">
        <f t="shared" ca="1" si="17"/>
        <v/>
      </c>
      <c r="CG32" s="9" t="str">
        <f t="shared" ca="1" si="18"/>
        <v/>
      </c>
      <c r="CJ32" s="9">
        <v>23</v>
      </c>
      <c r="CK32" s="11" t="s">
        <v>18</v>
      </c>
      <c r="CL32" s="9">
        <f ca="1">COUNTIF(BJ98:BJ101,TRUE)/4</f>
        <v>1</v>
      </c>
      <c r="CM32" s="9">
        <f t="shared" ref="CM32:CN32" ca="1" si="171">COUNTIF(BK98:BK101,TRUE)/4</f>
        <v>1</v>
      </c>
      <c r="CN32" s="9">
        <f t="shared" ca="1" si="171"/>
        <v>1</v>
      </c>
      <c r="CQ32" s="9">
        <v>23</v>
      </c>
      <c r="CR32" s="11" t="s">
        <v>18</v>
      </c>
      <c r="CS32" s="9">
        <f ca="1">COUNTIF(BQ98:BQ101,TRUE)/4</f>
        <v>0</v>
      </c>
      <c r="CT32" s="9">
        <f t="shared" ref="CT32" ca="1" si="172">COUNTIF(BR98:BR101,TRUE)/4</f>
        <v>0</v>
      </c>
      <c r="CU32" s="9">
        <f t="shared" ref="CU32" ca="1" si="173">COUNTIF(BS98:BS101,TRUE)/4</f>
        <v>0</v>
      </c>
      <c r="CX32" s="9">
        <v>23</v>
      </c>
      <c r="CY32" s="11" t="s">
        <v>18</v>
      </c>
      <c r="CZ32" s="9">
        <f ca="1">COUNTIF(BX98:BX101,TRUE)/4</f>
        <v>0</v>
      </c>
      <c r="DA32" s="9">
        <f t="shared" ref="DA32" ca="1" si="174">COUNTIF(BY98:BY101,TRUE)/4</f>
        <v>0</v>
      </c>
      <c r="DB32" s="9">
        <f t="shared" ref="DB32" ca="1" si="175">COUNTIF(BZ98:BZ101,TRUE)/4</f>
        <v>0</v>
      </c>
      <c r="DE32" s="9">
        <v>23</v>
      </c>
      <c r="DF32" s="11" t="s">
        <v>18</v>
      </c>
      <c r="DG32" s="9">
        <f ca="1">COUNTIF(CE98:CE101,TRUE)/4</f>
        <v>0</v>
      </c>
      <c r="DH32" s="9">
        <f t="shared" ref="DH32" ca="1" si="176">COUNTIF(CF98:CF101,TRUE)/4</f>
        <v>0</v>
      </c>
      <c r="DI32" s="9">
        <f t="shared" ref="DI32" ca="1" si="177">COUNTIF(CG98:CG101,TRUE)/4</f>
        <v>0</v>
      </c>
    </row>
    <row r="33" spans="37:113" ht="16.5" customHeight="1">
      <c r="AK33" s="22">
        <v>24</v>
      </c>
      <c r="AL33" s="24" t="s">
        <v>126</v>
      </c>
      <c r="AM33" s="22" t="str">
        <f>IF(_type_of_Calc="時間",CL33+CS33+CZ33+DG33,"")</f>
        <v/>
      </c>
      <c r="AN33" s="22" t="str">
        <f>IF(_type_of_Calc="時間",CM33+CT33+DA33+DH33,"")</f>
        <v/>
      </c>
      <c r="AO33" s="22" t="str">
        <f>IF(_type_of_Calc="時間",CN33+CU33+DB33+DI33,"")</f>
        <v/>
      </c>
      <c r="AR33" s="22">
        <v>24</v>
      </c>
      <c r="AS33" s="24" t="s">
        <v>126</v>
      </c>
      <c r="AT33" s="22">
        <f ca="1">IF(_type_of_Calc="回数",CL60+CS60+CZ60+DG60,"")</f>
        <v>1.33</v>
      </c>
      <c r="AU33" s="22">
        <f ca="1">IF(_type_of_Calc="回数",CM60+CT60+DA60+DH60,"")</f>
        <v>1.33</v>
      </c>
      <c r="AV33" s="22">
        <f ca="1">IF(_type_of_Calc="回数",CN60+CU60+DB60+DI60,"")</f>
        <v>1.33</v>
      </c>
      <c r="AZ33" s="9">
        <v>24</v>
      </c>
      <c r="BA33" s="11">
        <f t="shared" si="26"/>
        <v>36892.239583333278</v>
      </c>
      <c r="BB33" s="9" cm="1">
        <f t="array" aca="1" ref="BB33" ca="1">INDIRECT(ADDRESS(2+$AZ33,1+MATCH($AE$9,INDIRECT($AE$16&amp;"!$B$2:$R$2"),0),1,1,$AE$16))</f>
        <v>0</v>
      </c>
      <c r="BC33" s="9" cm="1">
        <f t="array" aca="1" ref="BC33" ca="1">INDIRECT(ADDRESS(2+$AZ33,1+MATCH($AE$9,INDIRECT($AE$17&amp;"!$B$2:$R$2"),0),1,1,$AE$17))</f>
        <v>0</v>
      </c>
      <c r="BD33" s="9" cm="1">
        <f t="array" aca="1" ref="BD33" ca="1">INDIRECT(ADDRESS(2+$AZ33,1+MATCH($AE$9,INDIRECT($AE$18&amp;"!$B$2:$R$2"),0),1,1,$AE$18))</f>
        <v>0</v>
      </c>
      <c r="BH33" s="9">
        <v>24</v>
      </c>
      <c r="BI33" s="11">
        <f t="shared" si="27"/>
        <v>36892.239583333278</v>
      </c>
      <c r="BJ33" s="9" t="b">
        <f t="shared" ca="1" si="7"/>
        <v>1</v>
      </c>
      <c r="BK33" s="9" t="b">
        <f t="shared" ca="1" si="8"/>
        <v>1</v>
      </c>
      <c r="BL33" s="9" t="b">
        <f t="shared" ca="1" si="9"/>
        <v>1</v>
      </c>
      <c r="BO33" s="9">
        <v>24</v>
      </c>
      <c r="BP33" s="11">
        <f t="shared" si="28"/>
        <v>36892.239583333278</v>
      </c>
      <c r="BQ33" s="9" t="str">
        <f t="shared" ca="1" si="10"/>
        <v/>
      </c>
      <c r="BR33" s="9" t="str">
        <f t="shared" ca="1" si="11"/>
        <v/>
      </c>
      <c r="BS33" s="9" t="str">
        <f t="shared" ca="1" si="12"/>
        <v/>
      </c>
      <c r="BV33" s="9">
        <v>24</v>
      </c>
      <c r="BW33" s="11">
        <f t="shared" si="29"/>
        <v>36892.239583333278</v>
      </c>
      <c r="BX33" s="9" t="str">
        <f t="shared" ca="1" si="13"/>
        <v/>
      </c>
      <c r="BY33" s="9" t="str">
        <f t="shared" ca="1" si="14"/>
        <v/>
      </c>
      <c r="BZ33" s="9" t="str">
        <f t="shared" ca="1" si="15"/>
        <v/>
      </c>
      <c r="CC33" s="9">
        <v>24</v>
      </c>
      <c r="CD33" s="11">
        <f t="shared" si="30"/>
        <v>36892.239583333278</v>
      </c>
      <c r="CE33" s="9" t="str">
        <f t="shared" ca="1" si="16"/>
        <v/>
      </c>
      <c r="CF33" s="9" t="str">
        <f t="shared" ca="1" si="17"/>
        <v/>
      </c>
      <c r="CG33" s="9" t="str">
        <f t="shared" ca="1" si="18"/>
        <v/>
      </c>
      <c r="CJ33" s="9">
        <v>24</v>
      </c>
      <c r="CK33" s="11" t="s">
        <v>126</v>
      </c>
      <c r="CL33" s="9">
        <f ca="1">COUNTIF(BJ102:BJ105,TRUE)/4</f>
        <v>1</v>
      </c>
      <c r="CM33" s="9">
        <f t="shared" ref="CM33:CN33" ca="1" si="178">COUNTIF(BK102:BK105,TRUE)/4</f>
        <v>1</v>
      </c>
      <c r="CN33" s="9">
        <f t="shared" ca="1" si="178"/>
        <v>1</v>
      </c>
      <c r="CQ33" s="9">
        <v>24</v>
      </c>
      <c r="CR33" s="11" t="s">
        <v>126</v>
      </c>
      <c r="CS33" s="9">
        <f ca="1">COUNTIF(BQ102:BQ105,TRUE)/4</f>
        <v>0</v>
      </c>
      <c r="CT33" s="9">
        <f t="shared" ref="CT33" ca="1" si="179">COUNTIF(BR102:BR105,TRUE)/4</f>
        <v>0</v>
      </c>
      <c r="CU33" s="9">
        <f t="shared" ref="CU33" ca="1" si="180">COUNTIF(BS102:BS105,TRUE)/4</f>
        <v>0</v>
      </c>
      <c r="CX33" s="9">
        <v>24</v>
      </c>
      <c r="CY33" s="11" t="s">
        <v>126</v>
      </c>
      <c r="CZ33" s="9">
        <f ca="1">COUNTIF(BX102:BX105,TRUE)/4</f>
        <v>0</v>
      </c>
      <c r="DA33" s="9">
        <f t="shared" ref="DA33" ca="1" si="181">COUNTIF(BY102:BY105,TRUE)/4</f>
        <v>0</v>
      </c>
      <c r="DB33" s="9">
        <f t="shared" ref="DB33" ca="1" si="182">COUNTIF(BZ102:BZ105,TRUE)/4</f>
        <v>0</v>
      </c>
      <c r="DE33" s="9">
        <v>24</v>
      </c>
      <c r="DF33" s="11" t="s">
        <v>126</v>
      </c>
      <c r="DG33" s="9">
        <f ca="1">COUNTIF(CE102:CE105,TRUE)/4</f>
        <v>0</v>
      </c>
      <c r="DH33" s="9">
        <f t="shared" ref="DH33" ca="1" si="183">COUNTIF(CF102:CF105,TRUE)/4</f>
        <v>0</v>
      </c>
      <c r="DI33" s="9">
        <f t="shared" ref="DI33" ca="1" si="184">COUNTIF(CG102:CG105,TRUE)/4</f>
        <v>0</v>
      </c>
    </row>
    <row r="34" spans="37:113" ht="16.5" customHeight="1">
      <c r="AL34" s="12"/>
      <c r="AS34" s="12"/>
      <c r="AZ34" s="9">
        <v>25</v>
      </c>
      <c r="BA34" s="11">
        <f t="shared" si="26"/>
        <v>36892.249999999942</v>
      </c>
      <c r="BB34" s="9" cm="1">
        <f t="array" aca="1" ref="BB34" ca="1">INDIRECT(ADDRESS(2+$AZ34,1+MATCH($AE$9,INDIRECT($AE$16&amp;"!$B$2:$R$2"),0),1,1,$AE$16))</f>
        <v>0</v>
      </c>
      <c r="BC34" s="9" cm="1">
        <f t="array" aca="1" ref="BC34" ca="1">INDIRECT(ADDRESS(2+$AZ34,1+MATCH($AE$9,INDIRECT($AE$17&amp;"!$B$2:$R$2"),0),1,1,$AE$17))</f>
        <v>0</v>
      </c>
      <c r="BD34" s="9" cm="1">
        <f t="array" aca="1" ref="BD34" ca="1">INDIRECT(ADDRESS(2+$AZ34,1+MATCH($AE$9,INDIRECT($AE$18&amp;"!$B$2:$R$2"),0),1,1,$AE$18))</f>
        <v>0</v>
      </c>
      <c r="BH34" s="9">
        <v>25</v>
      </c>
      <c r="BI34" s="11">
        <f t="shared" si="27"/>
        <v>36892.249999999942</v>
      </c>
      <c r="BJ34" s="9" t="b">
        <f t="shared" ca="1" si="7"/>
        <v>1</v>
      </c>
      <c r="BK34" s="9" t="b">
        <f t="shared" ca="1" si="8"/>
        <v>1</v>
      </c>
      <c r="BL34" s="9" t="b">
        <f t="shared" ca="1" si="9"/>
        <v>1</v>
      </c>
      <c r="BO34" s="9">
        <v>25</v>
      </c>
      <c r="BP34" s="11">
        <f t="shared" si="28"/>
        <v>36892.249999999942</v>
      </c>
      <c r="BQ34" s="9" t="str">
        <f t="shared" ca="1" si="10"/>
        <v/>
      </c>
      <c r="BR34" s="9" t="str">
        <f t="shared" ca="1" si="11"/>
        <v/>
      </c>
      <c r="BS34" s="9" t="str">
        <f t="shared" ca="1" si="12"/>
        <v/>
      </c>
      <c r="BV34" s="9">
        <v>25</v>
      </c>
      <c r="BW34" s="11">
        <f t="shared" si="29"/>
        <v>36892.249999999942</v>
      </c>
      <c r="BX34" s="9" t="str">
        <f t="shared" ca="1" si="13"/>
        <v/>
      </c>
      <c r="BY34" s="9" t="str">
        <f t="shared" ca="1" si="14"/>
        <v/>
      </c>
      <c r="BZ34" s="9" t="str">
        <f t="shared" ca="1" si="15"/>
        <v/>
      </c>
      <c r="CC34" s="9">
        <v>25</v>
      </c>
      <c r="CD34" s="11">
        <f t="shared" si="30"/>
        <v>36892.249999999942</v>
      </c>
      <c r="CE34" s="9" t="str">
        <f t="shared" ca="1" si="16"/>
        <v/>
      </c>
      <c r="CF34" s="9" t="str">
        <f t="shared" ca="1" si="17"/>
        <v/>
      </c>
      <c r="CG34" s="9" t="str">
        <f t="shared" ca="1" si="18"/>
        <v/>
      </c>
      <c r="CK34" s="12"/>
      <c r="CR34" s="12"/>
      <c r="CY34" s="12"/>
      <c r="DF34" s="12"/>
    </row>
    <row r="35" spans="37:113" ht="16.5" customHeight="1">
      <c r="AL35" s="12"/>
      <c r="AS35" s="12"/>
      <c r="AZ35" s="9">
        <v>26</v>
      </c>
      <c r="BA35" s="11">
        <f t="shared" si="26"/>
        <v>36892.260416666606</v>
      </c>
      <c r="BB35" s="9" cm="1">
        <f t="array" aca="1" ref="BB35" ca="1">INDIRECT(ADDRESS(2+$AZ35,1+MATCH($AE$9,INDIRECT($AE$16&amp;"!$B$2:$R$2"),0),1,1,$AE$16))</f>
        <v>0</v>
      </c>
      <c r="BC35" s="9" cm="1">
        <f t="array" aca="1" ref="BC35" ca="1">INDIRECT(ADDRESS(2+$AZ35,1+MATCH($AE$9,INDIRECT($AE$17&amp;"!$B$2:$R$2"),0),1,1,$AE$17))</f>
        <v>0</v>
      </c>
      <c r="BD35" s="9" cm="1">
        <f t="array" aca="1" ref="BD35" ca="1">INDIRECT(ADDRESS(2+$AZ35,1+MATCH($AE$9,INDIRECT($AE$18&amp;"!$B$2:$R$2"),0),1,1,$AE$18))</f>
        <v>0</v>
      </c>
      <c r="BH35" s="9">
        <v>26</v>
      </c>
      <c r="BI35" s="11">
        <f t="shared" si="27"/>
        <v>36892.260416666606</v>
      </c>
      <c r="BJ35" s="9" t="b">
        <f t="shared" ca="1" si="7"/>
        <v>1</v>
      </c>
      <c r="BK35" s="9" t="b">
        <f t="shared" ca="1" si="8"/>
        <v>1</v>
      </c>
      <c r="BL35" s="9" t="b">
        <f t="shared" ca="1" si="9"/>
        <v>1</v>
      </c>
      <c r="BO35" s="9">
        <v>26</v>
      </c>
      <c r="BP35" s="11">
        <f t="shared" si="28"/>
        <v>36892.260416666606</v>
      </c>
      <c r="BQ35" s="9" t="str">
        <f t="shared" ca="1" si="10"/>
        <v/>
      </c>
      <c r="BR35" s="9" t="str">
        <f t="shared" ca="1" si="11"/>
        <v/>
      </c>
      <c r="BS35" s="9" t="str">
        <f t="shared" ca="1" si="12"/>
        <v/>
      </c>
      <c r="BV35" s="9">
        <v>26</v>
      </c>
      <c r="BW35" s="11">
        <f t="shared" si="29"/>
        <v>36892.260416666606</v>
      </c>
      <c r="BX35" s="9" t="str">
        <f t="shared" ca="1" si="13"/>
        <v/>
      </c>
      <c r="BY35" s="9" t="str">
        <f t="shared" ca="1" si="14"/>
        <v/>
      </c>
      <c r="BZ35" s="9" t="str">
        <f t="shared" ca="1" si="15"/>
        <v/>
      </c>
      <c r="CC35" s="9">
        <v>26</v>
      </c>
      <c r="CD35" s="11">
        <f t="shared" si="30"/>
        <v>36892.260416666606</v>
      </c>
      <c r="CE35" s="9" t="str">
        <f t="shared" ca="1" si="16"/>
        <v/>
      </c>
      <c r="CF35" s="9" t="str">
        <f t="shared" ca="1" si="17"/>
        <v/>
      </c>
      <c r="CG35" s="9" t="str">
        <f t="shared" ca="1" si="18"/>
        <v/>
      </c>
      <c r="CI35" s="7" t="s">
        <v>153</v>
      </c>
      <c r="CP35" s="7" t="s">
        <v>154</v>
      </c>
      <c r="CW35" s="7" t="s">
        <v>155</v>
      </c>
      <c r="DD35" s="7" t="s">
        <v>156</v>
      </c>
    </row>
    <row r="36" spans="37:113" ht="16.5" customHeight="1">
      <c r="AL36" s="12"/>
      <c r="AS36" s="12"/>
      <c r="AZ36" s="9">
        <v>27</v>
      </c>
      <c r="BA36" s="11">
        <f t="shared" si="26"/>
        <v>36892.27083333327</v>
      </c>
      <c r="BB36" s="9" cm="1">
        <f t="array" aca="1" ref="BB36" ca="1">INDIRECT(ADDRESS(2+$AZ36,1+MATCH($AE$9,INDIRECT($AE$16&amp;"!$B$2:$R$2"),0),1,1,$AE$16))</f>
        <v>0</v>
      </c>
      <c r="BC36" s="9" cm="1">
        <f t="array" aca="1" ref="BC36" ca="1">INDIRECT(ADDRESS(2+$AZ36,1+MATCH($AE$9,INDIRECT($AE$17&amp;"!$B$2:$R$2"),0),1,1,$AE$17))</f>
        <v>0</v>
      </c>
      <c r="BD36" s="9" cm="1">
        <f t="array" aca="1" ref="BD36" ca="1">INDIRECT(ADDRESS(2+$AZ36,1+MATCH($AE$9,INDIRECT($AE$18&amp;"!$B$2:$R$2"),0),1,1,$AE$18))</f>
        <v>0</v>
      </c>
      <c r="BH36" s="9">
        <v>27</v>
      </c>
      <c r="BI36" s="11">
        <f t="shared" si="27"/>
        <v>36892.27083333327</v>
      </c>
      <c r="BJ36" s="9" t="b">
        <f t="shared" ca="1" si="7"/>
        <v>1</v>
      </c>
      <c r="BK36" s="9" t="b">
        <f t="shared" ca="1" si="8"/>
        <v>1</v>
      </c>
      <c r="BL36" s="9" t="b">
        <f t="shared" ca="1" si="9"/>
        <v>1</v>
      </c>
      <c r="BO36" s="9">
        <v>27</v>
      </c>
      <c r="BP36" s="11">
        <f t="shared" si="28"/>
        <v>36892.27083333327</v>
      </c>
      <c r="BQ36" s="9" t="str">
        <f t="shared" ca="1" si="10"/>
        <v/>
      </c>
      <c r="BR36" s="9" t="str">
        <f t="shared" ca="1" si="11"/>
        <v/>
      </c>
      <c r="BS36" s="9" t="str">
        <f t="shared" ca="1" si="12"/>
        <v/>
      </c>
      <c r="BV36" s="9">
        <v>27</v>
      </c>
      <c r="BW36" s="11">
        <f t="shared" si="29"/>
        <v>36892.27083333327</v>
      </c>
      <c r="BX36" s="9" t="str">
        <f t="shared" ca="1" si="13"/>
        <v/>
      </c>
      <c r="BY36" s="9" t="str">
        <f t="shared" ca="1" si="14"/>
        <v/>
      </c>
      <c r="BZ36" s="9" t="str">
        <f t="shared" ca="1" si="15"/>
        <v/>
      </c>
      <c r="CC36" s="9">
        <v>27</v>
      </c>
      <c r="CD36" s="11">
        <f t="shared" si="30"/>
        <v>36892.27083333327</v>
      </c>
      <c r="CE36" s="9" t="str">
        <f t="shared" ca="1" si="16"/>
        <v/>
      </c>
      <c r="CF36" s="9" t="str">
        <f t="shared" ca="1" si="17"/>
        <v/>
      </c>
      <c r="CG36" s="9" t="str">
        <f t="shared" ca="1" si="18"/>
        <v/>
      </c>
      <c r="CL36" s="8" t="s">
        <v>1</v>
      </c>
      <c r="CM36" s="8" t="s">
        <v>3</v>
      </c>
      <c r="CN36" s="8" t="s">
        <v>5</v>
      </c>
      <c r="CS36" s="8" t="s">
        <v>1</v>
      </c>
      <c r="CT36" s="8" t="s">
        <v>3</v>
      </c>
      <c r="CU36" s="8" t="s">
        <v>5</v>
      </c>
      <c r="CZ36" s="8" t="s">
        <v>1</v>
      </c>
      <c r="DA36" s="8" t="s">
        <v>3</v>
      </c>
      <c r="DB36" s="8" t="s">
        <v>5</v>
      </c>
      <c r="DG36" s="8" t="s">
        <v>1</v>
      </c>
      <c r="DH36" s="8" t="s">
        <v>3</v>
      </c>
      <c r="DI36" s="8" t="s">
        <v>5</v>
      </c>
    </row>
    <row r="37" spans="37:113" ht="16.5" customHeight="1">
      <c r="AL37" s="12"/>
      <c r="AS37" s="12"/>
      <c r="AZ37" s="9">
        <v>28</v>
      </c>
      <c r="BA37" s="11">
        <f t="shared" si="26"/>
        <v>36892.281249999935</v>
      </c>
      <c r="BB37" s="9" cm="1">
        <f t="array" aca="1" ref="BB37" ca="1">INDIRECT(ADDRESS(2+$AZ37,1+MATCH($AE$9,INDIRECT($AE$16&amp;"!$B$2:$R$2"),0),1,1,$AE$16))</f>
        <v>0</v>
      </c>
      <c r="BC37" s="9" cm="1">
        <f t="array" aca="1" ref="BC37" ca="1">INDIRECT(ADDRESS(2+$AZ37,1+MATCH($AE$9,INDIRECT($AE$17&amp;"!$B$2:$R$2"),0),1,1,$AE$17))</f>
        <v>0</v>
      </c>
      <c r="BD37" s="9" cm="1">
        <f t="array" aca="1" ref="BD37" ca="1">INDIRECT(ADDRESS(2+$AZ37,1+MATCH($AE$9,INDIRECT($AE$18&amp;"!$B$2:$R$2"),0),1,1,$AE$18))</f>
        <v>0</v>
      </c>
      <c r="BH37" s="9">
        <v>28</v>
      </c>
      <c r="BI37" s="11">
        <f t="shared" si="27"/>
        <v>36892.281249999935</v>
      </c>
      <c r="BJ37" s="9" t="b">
        <f t="shared" ca="1" si="7"/>
        <v>1</v>
      </c>
      <c r="BK37" s="9" t="b">
        <f t="shared" ca="1" si="8"/>
        <v>1</v>
      </c>
      <c r="BL37" s="9" t="b">
        <f t="shared" ca="1" si="9"/>
        <v>1</v>
      </c>
      <c r="BO37" s="9">
        <v>28</v>
      </c>
      <c r="BP37" s="11">
        <f t="shared" si="28"/>
        <v>36892.281249999935</v>
      </c>
      <c r="BQ37" s="9" t="str">
        <f t="shared" ca="1" si="10"/>
        <v/>
      </c>
      <c r="BR37" s="9" t="str">
        <f t="shared" ca="1" si="11"/>
        <v/>
      </c>
      <c r="BS37" s="9" t="str">
        <f t="shared" ca="1" si="12"/>
        <v/>
      </c>
      <c r="BV37" s="9">
        <v>28</v>
      </c>
      <c r="BW37" s="11">
        <f t="shared" si="29"/>
        <v>36892.281249999935</v>
      </c>
      <c r="BX37" s="9" t="str">
        <f t="shared" ca="1" si="13"/>
        <v/>
      </c>
      <c r="BY37" s="9" t="str">
        <f t="shared" ca="1" si="14"/>
        <v/>
      </c>
      <c r="BZ37" s="9" t="str">
        <f t="shared" ca="1" si="15"/>
        <v/>
      </c>
      <c r="CC37" s="9">
        <v>28</v>
      </c>
      <c r="CD37" s="11">
        <f t="shared" si="30"/>
        <v>36892.281249999935</v>
      </c>
      <c r="CE37" s="9" t="str">
        <f t="shared" ca="1" si="16"/>
        <v/>
      </c>
      <c r="CF37" s="9" t="str">
        <f t="shared" ca="1" si="17"/>
        <v/>
      </c>
      <c r="CG37" s="9" t="str">
        <f t="shared" ca="1" si="18"/>
        <v/>
      </c>
      <c r="CJ37" s="9">
        <v>1</v>
      </c>
      <c r="CK37" s="10" t="s">
        <v>107</v>
      </c>
      <c r="CL37" s="9">
        <f ca="1">ROUND(COUNTIF(BJ10:BJ13,TRUE)/_times_of_one_operation,2)</f>
        <v>1.33</v>
      </c>
      <c r="CM37" s="9">
        <f ca="1">ROUND(COUNTIF(BK10:BK13,TRUE)/_times_of_one_operation,2)</f>
        <v>1.33</v>
      </c>
      <c r="CN37" s="9">
        <f ca="1">ROUND(COUNTIF(BL10:BL13,TRUE)/_times_of_one_operation,2)</f>
        <v>1.33</v>
      </c>
      <c r="CQ37" s="9">
        <v>1</v>
      </c>
      <c r="CR37" s="10" t="s">
        <v>107</v>
      </c>
      <c r="CS37" s="9">
        <f ca="1">ROUND(COUNTIF(BQ10:BQ13,TRUE)/_times_of_one_operation,2)</f>
        <v>0</v>
      </c>
      <c r="CT37" s="9">
        <f ca="1">ROUND(COUNTIF(BR10:BR13,TRUE)/_times_of_one_operation,2)</f>
        <v>0</v>
      </c>
      <c r="CU37" s="9">
        <f ca="1">ROUND(COUNTIF(BS10:BS13,TRUE)/_times_of_one_operation,2)</f>
        <v>0</v>
      </c>
      <c r="CX37" s="9">
        <v>1</v>
      </c>
      <c r="CY37" s="10" t="s">
        <v>107</v>
      </c>
      <c r="CZ37" s="9">
        <f ca="1">ROUND(COUNTIF(BX10:BX13,TRUE)/_times_of_one_operation,2)</f>
        <v>0</v>
      </c>
      <c r="DA37" s="9">
        <f ca="1">ROUND(COUNTIF(BY10:BY13,TRUE)/_times_of_one_operation,2)</f>
        <v>0</v>
      </c>
      <c r="DB37" s="9">
        <f ca="1">ROUND(COUNTIF(BZ10:BZ13,TRUE)/_times_of_one_operation,2)</f>
        <v>0</v>
      </c>
      <c r="DE37" s="9">
        <v>1</v>
      </c>
      <c r="DF37" s="10" t="s">
        <v>107</v>
      </c>
      <c r="DG37" s="9">
        <f ca="1">ROUND(COUNTIF(CE10:CE13,TRUE)/_times_of_one_operation,2)</f>
        <v>0</v>
      </c>
      <c r="DH37" s="9">
        <f ca="1">ROUND(COUNTIF(CF10:CF13,TRUE)/_times_of_one_operation,2)</f>
        <v>0</v>
      </c>
      <c r="DI37" s="9">
        <f ca="1">ROUND(COUNTIF(CG10:CG13,TRUE)/_times_of_one_operation,2)</f>
        <v>0</v>
      </c>
    </row>
    <row r="38" spans="37:113" ht="16.5" customHeight="1">
      <c r="AL38" s="12"/>
      <c r="AS38" s="12"/>
      <c r="AZ38" s="9">
        <v>29</v>
      </c>
      <c r="BA38" s="11">
        <f t="shared" si="26"/>
        <v>36892.291666666599</v>
      </c>
      <c r="BB38" s="9" cm="1">
        <f t="array" aca="1" ref="BB38" ca="1">INDIRECT(ADDRESS(2+$AZ38,1+MATCH($AE$9,INDIRECT($AE$16&amp;"!$B$2:$R$2"),0),1,1,$AE$16))</f>
        <v>0</v>
      </c>
      <c r="BC38" s="9" cm="1">
        <f t="array" aca="1" ref="BC38" ca="1">INDIRECT(ADDRESS(2+$AZ38,1+MATCH($AE$9,INDIRECT($AE$17&amp;"!$B$2:$R$2"),0),1,1,$AE$17))</f>
        <v>0</v>
      </c>
      <c r="BD38" s="9" cm="1">
        <f t="array" aca="1" ref="BD38" ca="1">INDIRECT(ADDRESS(2+$AZ38,1+MATCH($AE$9,INDIRECT($AE$18&amp;"!$B$2:$R$2"),0),1,1,$AE$18))</f>
        <v>1</v>
      </c>
      <c r="BH38" s="9">
        <v>29</v>
      </c>
      <c r="BI38" s="11">
        <f t="shared" si="27"/>
        <v>36892.291666666599</v>
      </c>
      <c r="BJ38" s="9" t="b">
        <f t="shared" ca="1" si="7"/>
        <v>1</v>
      </c>
      <c r="BK38" s="9" t="b">
        <f t="shared" ca="1" si="8"/>
        <v>1</v>
      </c>
      <c r="BL38" s="9" t="str">
        <f t="shared" ca="1" si="9"/>
        <v/>
      </c>
      <c r="BO38" s="9">
        <v>29</v>
      </c>
      <c r="BP38" s="11">
        <f t="shared" si="28"/>
        <v>36892.291666666599</v>
      </c>
      <c r="BQ38" s="9" t="str">
        <f t="shared" ca="1" si="10"/>
        <v/>
      </c>
      <c r="BR38" s="9" t="str">
        <f t="shared" ca="1" si="11"/>
        <v/>
      </c>
      <c r="BS38" s="9" t="b">
        <f t="shared" ca="1" si="12"/>
        <v>1</v>
      </c>
      <c r="BV38" s="9">
        <v>29</v>
      </c>
      <c r="BW38" s="11">
        <f t="shared" si="29"/>
        <v>36892.291666666599</v>
      </c>
      <c r="BX38" s="9" t="str">
        <f t="shared" ca="1" si="13"/>
        <v/>
      </c>
      <c r="BY38" s="9" t="str">
        <f t="shared" ca="1" si="14"/>
        <v/>
      </c>
      <c r="BZ38" s="9" t="str">
        <f t="shared" ca="1" si="15"/>
        <v/>
      </c>
      <c r="CC38" s="9">
        <v>29</v>
      </c>
      <c r="CD38" s="11">
        <f t="shared" si="30"/>
        <v>36892.291666666599</v>
      </c>
      <c r="CE38" s="9" t="str">
        <f t="shared" ca="1" si="16"/>
        <v/>
      </c>
      <c r="CF38" s="9" t="str">
        <f t="shared" ca="1" si="17"/>
        <v/>
      </c>
      <c r="CG38" s="9" t="str">
        <f t="shared" ca="1" si="18"/>
        <v/>
      </c>
      <c r="CJ38" s="9">
        <v>2</v>
      </c>
      <c r="CK38" s="11" t="s">
        <v>109</v>
      </c>
      <c r="CL38" s="9">
        <f ca="1">ROUND(COUNTIF(BJ14:BJ17,TRUE)/_times_of_one_operation,2)</f>
        <v>1.33</v>
      </c>
      <c r="CM38" s="9">
        <f ca="1">ROUND(COUNTIF(BK14:BK17,TRUE)/_times_of_one_operation,2)</f>
        <v>1.33</v>
      </c>
      <c r="CN38" s="9">
        <f ca="1">ROUND(COUNTIF(BL14:BL17,TRUE)/_times_of_one_operation,2)</f>
        <v>1.33</v>
      </c>
      <c r="CQ38" s="9">
        <v>2</v>
      </c>
      <c r="CR38" s="11" t="s">
        <v>109</v>
      </c>
      <c r="CS38" s="9">
        <f ca="1">ROUND(COUNTIF(BQ14:BQ17,TRUE)/_times_of_one_operation,2)</f>
        <v>0</v>
      </c>
      <c r="CT38" s="9">
        <f ca="1">ROUND(COUNTIF(BR14:BR17,TRUE)/_times_of_one_operation,2)</f>
        <v>0</v>
      </c>
      <c r="CU38" s="9">
        <f ca="1">ROUND(COUNTIF(BS14:BS17,TRUE)/_times_of_one_operation,2)</f>
        <v>0</v>
      </c>
      <c r="CX38" s="9">
        <v>2</v>
      </c>
      <c r="CY38" s="11" t="s">
        <v>109</v>
      </c>
      <c r="CZ38" s="9">
        <f ca="1">ROUND(COUNTIF(BX14:BX17,TRUE)/_times_of_one_operation,2)</f>
        <v>0</v>
      </c>
      <c r="DA38" s="9">
        <f ca="1">ROUND(COUNTIF(BY14:BY17,TRUE)/_times_of_one_operation,2)</f>
        <v>0</v>
      </c>
      <c r="DB38" s="9">
        <f ca="1">ROUND(COUNTIF(BZ14:BZ17,TRUE)/_times_of_one_operation,2)</f>
        <v>0</v>
      </c>
      <c r="DE38" s="9">
        <v>2</v>
      </c>
      <c r="DF38" s="11" t="s">
        <v>109</v>
      </c>
      <c r="DG38" s="9">
        <f ca="1">ROUND(COUNTIF(CE14:CE17,TRUE)/_times_of_one_operation,2)</f>
        <v>0</v>
      </c>
      <c r="DH38" s="9">
        <f ca="1">ROUND(COUNTIF(CF14:CF17,TRUE)/_times_of_one_operation,2)</f>
        <v>0</v>
      </c>
      <c r="DI38" s="9">
        <f ca="1">ROUND(COUNTIF(CG14:CG17,TRUE)/_times_of_one_operation,2)</f>
        <v>0</v>
      </c>
    </row>
    <row r="39" spans="37:113" ht="16.5" customHeight="1">
      <c r="AL39" s="12"/>
      <c r="AS39" s="12"/>
      <c r="AZ39" s="9">
        <v>30</v>
      </c>
      <c r="BA39" s="11">
        <f t="shared" si="26"/>
        <v>36892.302083333263</v>
      </c>
      <c r="BB39" s="9" cm="1">
        <f t="array" aca="1" ref="BB39" ca="1">INDIRECT(ADDRESS(2+$AZ39,1+MATCH($AE$9,INDIRECT($AE$16&amp;"!$B$2:$R$2"),0),1,1,$AE$16))</f>
        <v>0</v>
      </c>
      <c r="BC39" s="9" cm="1">
        <f t="array" aca="1" ref="BC39" ca="1">INDIRECT(ADDRESS(2+$AZ39,1+MATCH($AE$9,INDIRECT($AE$17&amp;"!$B$2:$R$2"),0),1,1,$AE$17))</f>
        <v>0</v>
      </c>
      <c r="BD39" s="9" cm="1">
        <f t="array" aca="1" ref="BD39" ca="1">INDIRECT(ADDRESS(2+$AZ39,1+MATCH($AE$9,INDIRECT($AE$18&amp;"!$B$2:$R$2"),0),1,1,$AE$18))</f>
        <v>1</v>
      </c>
      <c r="BH39" s="9">
        <v>30</v>
      </c>
      <c r="BI39" s="11">
        <f t="shared" si="27"/>
        <v>36892.302083333263</v>
      </c>
      <c r="BJ39" s="9" t="b">
        <f t="shared" ca="1" si="7"/>
        <v>1</v>
      </c>
      <c r="BK39" s="9" t="b">
        <f t="shared" ca="1" si="8"/>
        <v>1</v>
      </c>
      <c r="BL39" s="9" t="str">
        <f t="shared" ca="1" si="9"/>
        <v/>
      </c>
      <c r="BO39" s="9">
        <v>30</v>
      </c>
      <c r="BP39" s="11">
        <f t="shared" si="28"/>
        <v>36892.302083333263</v>
      </c>
      <c r="BQ39" s="9" t="str">
        <f t="shared" ca="1" si="10"/>
        <v/>
      </c>
      <c r="BR39" s="9" t="str">
        <f t="shared" ca="1" si="11"/>
        <v/>
      </c>
      <c r="BS39" s="9" t="b">
        <f t="shared" ca="1" si="12"/>
        <v>1</v>
      </c>
      <c r="BV39" s="9">
        <v>30</v>
      </c>
      <c r="BW39" s="11">
        <f t="shared" si="29"/>
        <v>36892.302083333263</v>
      </c>
      <c r="BX39" s="9" t="str">
        <f t="shared" ca="1" si="13"/>
        <v/>
      </c>
      <c r="BY39" s="9" t="str">
        <f t="shared" ca="1" si="14"/>
        <v/>
      </c>
      <c r="BZ39" s="9" t="str">
        <f t="shared" ca="1" si="15"/>
        <v/>
      </c>
      <c r="CC39" s="9">
        <v>30</v>
      </c>
      <c r="CD39" s="11">
        <f t="shared" si="30"/>
        <v>36892.302083333263</v>
      </c>
      <c r="CE39" s="9" t="str">
        <f t="shared" ca="1" si="16"/>
        <v/>
      </c>
      <c r="CF39" s="9" t="str">
        <f t="shared" ca="1" si="17"/>
        <v/>
      </c>
      <c r="CG39" s="9" t="str">
        <f t="shared" ca="1" si="18"/>
        <v/>
      </c>
      <c r="CJ39" s="9">
        <v>3</v>
      </c>
      <c r="CK39" s="11" t="s">
        <v>111</v>
      </c>
      <c r="CL39" s="9">
        <f ca="1">ROUND(COUNTIF(BJ18:BJ21,TRUE)/_times_of_one_operation,2)</f>
        <v>1.33</v>
      </c>
      <c r="CM39" s="9">
        <f ca="1">ROUND(COUNTIF(BK18:BK21,TRUE)/_times_of_one_operation,2)</f>
        <v>1.33</v>
      </c>
      <c r="CN39" s="9">
        <f ca="1">ROUND(COUNTIF(BL18:BL21,TRUE)/_times_of_one_operation,2)</f>
        <v>1.33</v>
      </c>
      <c r="CQ39" s="9">
        <v>3</v>
      </c>
      <c r="CR39" s="11" t="s">
        <v>111</v>
      </c>
      <c r="CS39" s="9">
        <f ca="1">ROUND(COUNTIF(BQ18:BQ21,TRUE)/_times_of_one_operation,2)</f>
        <v>0</v>
      </c>
      <c r="CT39" s="9">
        <f ca="1">ROUND(COUNTIF(BR18:BR21,TRUE)/_times_of_one_operation,2)</f>
        <v>0</v>
      </c>
      <c r="CU39" s="9">
        <f ca="1">ROUND(COUNTIF(BS18:BS21,TRUE)/_times_of_one_operation,2)</f>
        <v>0</v>
      </c>
      <c r="CX39" s="9">
        <v>3</v>
      </c>
      <c r="CY39" s="11" t="s">
        <v>111</v>
      </c>
      <c r="CZ39" s="9">
        <f ca="1">ROUND(COUNTIF(BX18:BX21,TRUE)/_times_of_one_operation,2)</f>
        <v>0</v>
      </c>
      <c r="DA39" s="9">
        <f ca="1">ROUND(COUNTIF(BY18:BY21,TRUE)/_times_of_one_operation,2)</f>
        <v>0</v>
      </c>
      <c r="DB39" s="9">
        <f ca="1">ROUND(COUNTIF(BZ18:BZ21,TRUE)/_times_of_one_operation,2)</f>
        <v>0</v>
      </c>
      <c r="DE39" s="9">
        <v>3</v>
      </c>
      <c r="DF39" s="11" t="s">
        <v>111</v>
      </c>
      <c r="DG39" s="9">
        <f ca="1">ROUND(COUNTIF(CE18:CE21,TRUE)/_times_of_one_operation,2)</f>
        <v>0</v>
      </c>
      <c r="DH39" s="9">
        <f ca="1">ROUND(COUNTIF(CF18:CF21,TRUE)/_times_of_one_operation,2)</f>
        <v>0</v>
      </c>
      <c r="DI39" s="9">
        <f ca="1">ROUND(COUNTIF(CG18:CG21,TRUE)/_times_of_one_operation,2)</f>
        <v>0</v>
      </c>
    </row>
    <row r="40" spans="37:113" ht="16.5" customHeight="1">
      <c r="AL40" s="12"/>
      <c r="AS40" s="12"/>
      <c r="AZ40" s="9">
        <v>31</v>
      </c>
      <c r="BA40" s="11">
        <f t="shared" si="26"/>
        <v>36892.312499999927</v>
      </c>
      <c r="BB40" s="9" cm="1">
        <f t="array" aca="1" ref="BB40" ca="1">INDIRECT(ADDRESS(2+$AZ40,1+MATCH($AE$9,INDIRECT($AE$16&amp;"!$B$2:$R$2"),0),1,1,$AE$16))</f>
        <v>0</v>
      </c>
      <c r="BC40" s="9" cm="1">
        <f t="array" aca="1" ref="BC40" ca="1">INDIRECT(ADDRESS(2+$AZ40,1+MATCH($AE$9,INDIRECT($AE$17&amp;"!$B$2:$R$2"),0),1,1,$AE$17))</f>
        <v>0</v>
      </c>
      <c r="BD40" s="9" cm="1">
        <f t="array" aca="1" ref="BD40" ca="1">INDIRECT(ADDRESS(2+$AZ40,1+MATCH($AE$9,INDIRECT($AE$18&amp;"!$B$2:$R$2"),0),1,1,$AE$18))</f>
        <v>1</v>
      </c>
      <c r="BH40" s="9">
        <v>31</v>
      </c>
      <c r="BI40" s="11">
        <f t="shared" si="27"/>
        <v>36892.312499999927</v>
      </c>
      <c r="BJ40" s="9" t="b">
        <f t="shared" ca="1" si="7"/>
        <v>1</v>
      </c>
      <c r="BK40" s="9" t="b">
        <f t="shared" ca="1" si="8"/>
        <v>1</v>
      </c>
      <c r="BL40" s="9" t="str">
        <f t="shared" ca="1" si="9"/>
        <v/>
      </c>
      <c r="BO40" s="9">
        <v>31</v>
      </c>
      <c r="BP40" s="11">
        <f t="shared" si="28"/>
        <v>36892.312499999927</v>
      </c>
      <c r="BQ40" s="9" t="str">
        <f t="shared" ca="1" si="10"/>
        <v/>
      </c>
      <c r="BR40" s="9" t="str">
        <f t="shared" ca="1" si="11"/>
        <v/>
      </c>
      <c r="BS40" s="9" t="b">
        <f t="shared" ca="1" si="12"/>
        <v>1</v>
      </c>
      <c r="BV40" s="9">
        <v>31</v>
      </c>
      <c r="BW40" s="11">
        <f t="shared" si="29"/>
        <v>36892.312499999927</v>
      </c>
      <c r="BX40" s="9" t="str">
        <f t="shared" ca="1" si="13"/>
        <v/>
      </c>
      <c r="BY40" s="9" t="str">
        <f t="shared" ca="1" si="14"/>
        <v/>
      </c>
      <c r="BZ40" s="9" t="str">
        <f t="shared" ca="1" si="15"/>
        <v/>
      </c>
      <c r="CC40" s="9">
        <v>31</v>
      </c>
      <c r="CD40" s="11">
        <f t="shared" si="30"/>
        <v>36892.312499999927</v>
      </c>
      <c r="CE40" s="9" t="str">
        <f t="shared" ca="1" si="16"/>
        <v/>
      </c>
      <c r="CF40" s="9" t="str">
        <f t="shared" ca="1" si="17"/>
        <v/>
      </c>
      <c r="CG40" s="9" t="str">
        <f t="shared" ca="1" si="18"/>
        <v/>
      </c>
      <c r="CJ40" s="9">
        <v>4</v>
      </c>
      <c r="CK40" s="11" t="s">
        <v>113</v>
      </c>
      <c r="CL40" s="9">
        <f ca="1">ROUND(COUNTIF(BJ22:BJ25,TRUE)/_times_of_one_operation,2)</f>
        <v>1.33</v>
      </c>
      <c r="CM40" s="9">
        <f ca="1">ROUND(COUNTIF(BK22:BK25,TRUE)/_times_of_one_operation,2)</f>
        <v>1.33</v>
      </c>
      <c r="CN40" s="9">
        <f ca="1">ROUND(COUNTIF(BL22:BL25,TRUE)/_times_of_one_operation,2)</f>
        <v>1.33</v>
      </c>
      <c r="CQ40" s="9">
        <v>4</v>
      </c>
      <c r="CR40" s="11" t="s">
        <v>113</v>
      </c>
      <c r="CS40" s="9">
        <f ca="1">ROUND(COUNTIF(BQ22:BQ25,TRUE)/_times_of_one_operation,2)</f>
        <v>0</v>
      </c>
      <c r="CT40" s="9">
        <f ca="1">ROUND(COUNTIF(BR22:BR25,TRUE)/_times_of_one_operation,2)</f>
        <v>0</v>
      </c>
      <c r="CU40" s="9">
        <f ca="1">ROUND(COUNTIF(BS22:BS25,TRUE)/_times_of_one_operation,2)</f>
        <v>0</v>
      </c>
      <c r="CX40" s="9">
        <v>4</v>
      </c>
      <c r="CY40" s="11" t="s">
        <v>113</v>
      </c>
      <c r="CZ40" s="9">
        <f ca="1">ROUND(COUNTIF(BX22:BX25,TRUE)/_times_of_one_operation,2)</f>
        <v>0</v>
      </c>
      <c r="DA40" s="9">
        <f ca="1">ROUND(COUNTIF(BY22:BY25,TRUE)/_times_of_one_operation,2)</f>
        <v>0</v>
      </c>
      <c r="DB40" s="9">
        <f ca="1">ROUND(COUNTIF(BZ22:BZ25,TRUE)/_times_of_one_operation,2)</f>
        <v>0</v>
      </c>
      <c r="DE40" s="9">
        <v>4</v>
      </c>
      <c r="DF40" s="11" t="s">
        <v>113</v>
      </c>
      <c r="DG40" s="9">
        <f ca="1">ROUND(COUNTIF(CE22:CE25,TRUE)/_times_of_one_operation,2)</f>
        <v>0</v>
      </c>
      <c r="DH40" s="9">
        <f ca="1">ROUND(COUNTIF(CF22:CF25,TRUE)/_times_of_one_operation,2)</f>
        <v>0</v>
      </c>
      <c r="DI40" s="9">
        <f ca="1">ROUND(COUNTIF(CG22:CG25,TRUE)/_times_of_one_operation,2)</f>
        <v>0</v>
      </c>
    </row>
    <row r="41" spans="37:113" ht="16.5" customHeight="1">
      <c r="AL41" s="12"/>
      <c r="AS41" s="12"/>
      <c r="AZ41" s="9">
        <v>32</v>
      </c>
      <c r="BA41" s="11">
        <f t="shared" si="26"/>
        <v>36892.322916666591</v>
      </c>
      <c r="BB41" s="9" cm="1">
        <f t="array" aca="1" ref="BB41" ca="1">INDIRECT(ADDRESS(2+$AZ41,1+MATCH($AE$9,INDIRECT($AE$16&amp;"!$B$2:$R$2"),0),1,1,$AE$16))</f>
        <v>1</v>
      </c>
      <c r="BC41" s="9" cm="1">
        <f t="array" aca="1" ref="BC41" ca="1">INDIRECT(ADDRESS(2+$AZ41,1+MATCH($AE$9,INDIRECT($AE$17&amp;"!$B$2:$R$2"),0),1,1,$AE$17))</f>
        <v>1</v>
      </c>
      <c r="BD41" s="9" cm="1">
        <f t="array" aca="1" ref="BD41" ca="1">INDIRECT(ADDRESS(2+$AZ41,1+MATCH($AE$9,INDIRECT($AE$18&amp;"!$B$2:$R$2"),0),1,1,$AE$18))</f>
        <v>0</v>
      </c>
      <c r="BH41" s="9">
        <v>32</v>
      </c>
      <c r="BI41" s="11">
        <f t="shared" si="27"/>
        <v>36892.322916666591</v>
      </c>
      <c r="BJ41" s="9" t="str">
        <f t="shared" ca="1" si="7"/>
        <v/>
      </c>
      <c r="BK41" s="9" t="str">
        <f t="shared" ca="1" si="8"/>
        <v/>
      </c>
      <c r="BL41" s="9" t="b">
        <f t="shared" ca="1" si="9"/>
        <v>1</v>
      </c>
      <c r="BO41" s="9">
        <v>32</v>
      </c>
      <c r="BP41" s="11">
        <f t="shared" si="28"/>
        <v>36892.322916666591</v>
      </c>
      <c r="BQ41" s="9" t="b">
        <f t="shared" ca="1" si="10"/>
        <v>1</v>
      </c>
      <c r="BR41" s="9" t="b">
        <f t="shared" ca="1" si="11"/>
        <v>1</v>
      </c>
      <c r="BS41" s="9" t="str">
        <f t="shared" ca="1" si="12"/>
        <v/>
      </c>
      <c r="BV41" s="9">
        <v>32</v>
      </c>
      <c r="BW41" s="11">
        <f t="shared" si="29"/>
        <v>36892.322916666591</v>
      </c>
      <c r="BX41" s="9" t="str">
        <f t="shared" ca="1" si="13"/>
        <v/>
      </c>
      <c r="BY41" s="9" t="str">
        <f t="shared" ca="1" si="14"/>
        <v/>
      </c>
      <c r="BZ41" s="9" t="str">
        <f t="shared" ca="1" si="15"/>
        <v/>
      </c>
      <c r="CC41" s="9">
        <v>32</v>
      </c>
      <c r="CD41" s="11">
        <f t="shared" si="30"/>
        <v>36892.322916666591</v>
      </c>
      <c r="CE41" s="9" t="str">
        <f t="shared" ca="1" si="16"/>
        <v/>
      </c>
      <c r="CF41" s="9" t="str">
        <f t="shared" ca="1" si="17"/>
        <v/>
      </c>
      <c r="CG41" s="9" t="str">
        <f t="shared" ca="1" si="18"/>
        <v/>
      </c>
      <c r="CJ41" s="9">
        <v>5</v>
      </c>
      <c r="CK41" s="11" t="s">
        <v>115</v>
      </c>
      <c r="CL41" s="9">
        <f ca="1">ROUND(COUNTIF(BJ26:BJ29,TRUE)/_times_of_one_operation,2)</f>
        <v>1.33</v>
      </c>
      <c r="CM41" s="9">
        <f ca="1">ROUND(COUNTIF(BK26:BK29,TRUE)/_times_of_one_operation,2)</f>
        <v>1.33</v>
      </c>
      <c r="CN41" s="9">
        <f ca="1">ROUND(COUNTIF(BL26:BL29,TRUE)/_times_of_one_operation,2)</f>
        <v>1.33</v>
      </c>
      <c r="CQ41" s="9">
        <v>5</v>
      </c>
      <c r="CR41" s="11" t="s">
        <v>115</v>
      </c>
      <c r="CS41" s="9">
        <f ca="1">ROUND(COUNTIF(BQ26:BQ29,TRUE)/_times_of_one_operation,2)</f>
        <v>0</v>
      </c>
      <c r="CT41" s="9">
        <f ca="1">ROUND(COUNTIF(BR26:BR29,TRUE)/_times_of_one_operation,2)</f>
        <v>0</v>
      </c>
      <c r="CU41" s="9">
        <f ca="1">ROUND(COUNTIF(BS26:BS29,TRUE)/_times_of_one_operation,2)</f>
        <v>0</v>
      </c>
      <c r="CX41" s="9">
        <v>5</v>
      </c>
      <c r="CY41" s="11" t="s">
        <v>115</v>
      </c>
      <c r="CZ41" s="9">
        <f ca="1">ROUND(COUNTIF(BX26:BX29,TRUE)/_times_of_one_operation,2)</f>
        <v>0</v>
      </c>
      <c r="DA41" s="9">
        <f ca="1">ROUND(COUNTIF(BY26:BY29,TRUE)/_times_of_one_operation,2)</f>
        <v>0</v>
      </c>
      <c r="DB41" s="9">
        <f ca="1">ROUND(COUNTIF(BZ26:BZ29,TRUE)/_times_of_one_operation,2)</f>
        <v>0</v>
      </c>
      <c r="DE41" s="9">
        <v>5</v>
      </c>
      <c r="DF41" s="11" t="s">
        <v>115</v>
      </c>
      <c r="DG41" s="9">
        <f ca="1">ROUND(COUNTIF(CE26:CE29,TRUE)/_times_of_one_operation,2)</f>
        <v>0</v>
      </c>
      <c r="DH41" s="9">
        <f ca="1">ROUND(COUNTIF(CF26:CF29,TRUE)/_times_of_one_operation,2)</f>
        <v>0</v>
      </c>
      <c r="DI41" s="9">
        <f ca="1">ROUND(COUNTIF(CG26:CG29,TRUE)/_times_of_one_operation,2)</f>
        <v>0</v>
      </c>
    </row>
    <row r="42" spans="37:113" ht="16.5" customHeight="1">
      <c r="AL42" s="12"/>
      <c r="AS42" s="12"/>
      <c r="AZ42" s="9">
        <v>33</v>
      </c>
      <c r="BA42" s="11">
        <f t="shared" si="26"/>
        <v>36892.333333333256</v>
      </c>
      <c r="BB42" s="9" cm="1">
        <f t="array" aca="1" ref="BB42" ca="1">INDIRECT(ADDRESS(2+$AZ42,1+MATCH($AE$9,INDIRECT($AE$16&amp;"!$B$2:$R$2"),0),1,1,$AE$16))</f>
        <v>1</v>
      </c>
      <c r="BC42" s="9" cm="1">
        <f t="array" aca="1" ref="BC42" ca="1">INDIRECT(ADDRESS(2+$AZ42,1+MATCH($AE$9,INDIRECT($AE$17&amp;"!$B$2:$R$2"),0),1,1,$AE$17))</f>
        <v>1</v>
      </c>
      <c r="BD42" s="9" cm="1">
        <f t="array" aca="1" ref="BD42" ca="1">INDIRECT(ADDRESS(2+$AZ42,1+MATCH($AE$9,INDIRECT($AE$18&amp;"!$B$2:$R$2"),0),1,1,$AE$18))</f>
        <v>0</v>
      </c>
      <c r="BH42" s="9">
        <v>33</v>
      </c>
      <c r="BI42" s="11">
        <f t="shared" si="27"/>
        <v>36892.333333333256</v>
      </c>
      <c r="BJ42" s="9" t="str">
        <f t="shared" ca="1" si="7"/>
        <v/>
      </c>
      <c r="BK42" s="9" t="str">
        <f t="shared" ca="1" si="8"/>
        <v/>
      </c>
      <c r="BL42" s="9" t="b">
        <f t="shared" ca="1" si="9"/>
        <v>1</v>
      </c>
      <c r="BO42" s="9">
        <v>33</v>
      </c>
      <c r="BP42" s="11">
        <f t="shared" si="28"/>
        <v>36892.333333333256</v>
      </c>
      <c r="BQ42" s="9" t="b">
        <f t="shared" ca="1" si="10"/>
        <v>1</v>
      </c>
      <c r="BR42" s="9" t="b">
        <f t="shared" ca="1" si="11"/>
        <v>1</v>
      </c>
      <c r="BS42" s="9" t="str">
        <f t="shared" ca="1" si="12"/>
        <v/>
      </c>
      <c r="BV42" s="9">
        <v>33</v>
      </c>
      <c r="BW42" s="11">
        <f t="shared" si="29"/>
        <v>36892.333333333256</v>
      </c>
      <c r="BX42" s="9" t="str">
        <f t="shared" ca="1" si="13"/>
        <v/>
      </c>
      <c r="BY42" s="9" t="str">
        <f t="shared" ca="1" si="14"/>
        <v/>
      </c>
      <c r="BZ42" s="9" t="str">
        <f t="shared" ca="1" si="15"/>
        <v/>
      </c>
      <c r="CC42" s="9">
        <v>33</v>
      </c>
      <c r="CD42" s="11">
        <f t="shared" si="30"/>
        <v>36892.333333333256</v>
      </c>
      <c r="CE42" s="9" t="str">
        <f t="shared" ca="1" si="16"/>
        <v/>
      </c>
      <c r="CF42" s="9" t="str">
        <f t="shared" ca="1" si="17"/>
        <v/>
      </c>
      <c r="CG42" s="9" t="str">
        <f t="shared" ca="1" si="18"/>
        <v/>
      </c>
      <c r="CJ42" s="9">
        <v>6</v>
      </c>
      <c r="CK42" s="11" t="s">
        <v>117</v>
      </c>
      <c r="CL42" s="9">
        <f ca="1">ROUND(COUNTIF(BJ30:BJ33,TRUE)/_times_of_one_operation,2)</f>
        <v>1.33</v>
      </c>
      <c r="CM42" s="9">
        <f ca="1">ROUND(COUNTIF(BK30:BK33,TRUE)/_times_of_one_operation,2)</f>
        <v>1.33</v>
      </c>
      <c r="CN42" s="9">
        <f ca="1">ROUND(COUNTIF(BL30:BL33,TRUE)/_times_of_one_operation,2)</f>
        <v>1.33</v>
      </c>
      <c r="CQ42" s="9">
        <v>6</v>
      </c>
      <c r="CR42" s="11" t="s">
        <v>117</v>
      </c>
      <c r="CS42" s="9">
        <f ca="1">ROUND(COUNTIF(BQ30:BQ33,TRUE)/_times_of_one_operation,2)</f>
        <v>0</v>
      </c>
      <c r="CT42" s="9">
        <f ca="1">ROUND(COUNTIF(BR30:BR33,TRUE)/_times_of_one_operation,2)</f>
        <v>0</v>
      </c>
      <c r="CU42" s="9">
        <f ca="1">ROUND(COUNTIF(BS30:BS33,TRUE)/_times_of_one_operation,2)</f>
        <v>0</v>
      </c>
      <c r="CX42" s="9">
        <v>6</v>
      </c>
      <c r="CY42" s="11" t="s">
        <v>117</v>
      </c>
      <c r="CZ42" s="9">
        <f ca="1">ROUND(COUNTIF(BX30:BX33,TRUE)/_times_of_one_operation,2)</f>
        <v>0</v>
      </c>
      <c r="DA42" s="9">
        <f ca="1">ROUND(COUNTIF(BY30:BY33,TRUE)/_times_of_one_operation,2)</f>
        <v>0</v>
      </c>
      <c r="DB42" s="9">
        <f ca="1">ROUND(COUNTIF(BZ30:BZ33,TRUE)/_times_of_one_operation,2)</f>
        <v>0</v>
      </c>
      <c r="DE42" s="9">
        <v>6</v>
      </c>
      <c r="DF42" s="11" t="s">
        <v>117</v>
      </c>
      <c r="DG42" s="9">
        <f ca="1">ROUND(COUNTIF(CE30:CE33,TRUE)/_times_of_one_operation,2)</f>
        <v>0</v>
      </c>
      <c r="DH42" s="9">
        <f ca="1">ROUND(COUNTIF(CF30:CF33,TRUE)/_times_of_one_operation,2)</f>
        <v>0</v>
      </c>
      <c r="DI42" s="9">
        <f ca="1">ROUND(COUNTIF(CG30:CG33,TRUE)/_times_of_one_operation,2)</f>
        <v>0</v>
      </c>
    </row>
    <row r="43" spans="37:113" ht="16.5" customHeight="1">
      <c r="AL43" s="12"/>
      <c r="AS43" s="12"/>
      <c r="AZ43" s="9">
        <v>34</v>
      </c>
      <c r="BA43" s="11">
        <f t="shared" si="26"/>
        <v>36892.34374999992</v>
      </c>
      <c r="BB43" s="9" cm="1">
        <f t="array" aca="1" ref="BB43" ca="1">INDIRECT(ADDRESS(2+$AZ43,1+MATCH($AE$9,INDIRECT($AE$16&amp;"!$B$2:$R$2"),0),1,1,$AE$16))</f>
        <v>1</v>
      </c>
      <c r="BC43" s="9" cm="1">
        <f t="array" aca="1" ref="BC43" ca="1">INDIRECT(ADDRESS(2+$AZ43,1+MATCH($AE$9,INDIRECT($AE$17&amp;"!$B$2:$R$2"),0),1,1,$AE$17))</f>
        <v>1</v>
      </c>
      <c r="BD43" s="9" cm="1">
        <f t="array" aca="1" ref="BD43" ca="1">INDIRECT(ADDRESS(2+$AZ43,1+MATCH($AE$9,INDIRECT($AE$18&amp;"!$B$2:$R$2"),0),1,1,$AE$18))</f>
        <v>0</v>
      </c>
      <c r="BH43" s="9">
        <v>34</v>
      </c>
      <c r="BI43" s="11">
        <f t="shared" si="27"/>
        <v>36892.34374999992</v>
      </c>
      <c r="BJ43" s="9" t="str">
        <f t="shared" ca="1" si="7"/>
        <v/>
      </c>
      <c r="BK43" s="9" t="str">
        <f t="shared" ca="1" si="8"/>
        <v/>
      </c>
      <c r="BL43" s="9" t="b">
        <f t="shared" ca="1" si="9"/>
        <v>1</v>
      </c>
      <c r="BO43" s="9">
        <v>34</v>
      </c>
      <c r="BP43" s="11">
        <f t="shared" si="28"/>
        <v>36892.34374999992</v>
      </c>
      <c r="BQ43" s="9" t="b">
        <f t="shared" ca="1" si="10"/>
        <v>1</v>
      </c>
      <c r="BR43" s="9" t="b">
        <f t="shared" ca="1" si="11"/>
        <v>1</v>
      </c>
      <c r="BS43" s="9" t="str">
        <f t="shared" ca="1" si="12"/>
        <v/>
      </c>
      <c r="BV43" s="9">
        <v>34</v>
      </c>
      <c r="BW43" s="11">
        <f t="shared" si="29"/>
        <v>36892.34374999992</v>
      </c>
      <c r="BX43" s="9" t="str">
        <f t="shared" ca="1" si="13"/>
        <v/>
      </c>
      <c r="BY43" s="9" t="str">
        <f t="shared" ca="1" si="14"/>
        <v/>
      </c>
      <c r="BZ43" s="9" t="str">
        <f t="shared" ca="1" si="15"/>
        <v/>
      </c>
      <c r="CC43" s="9">
        <v>34</v>
      </c>
      <c r="CD43" s="11">
        <f t="shared" si="30"/>
        <v>36892.34374999992</v>
      </c>
      <c r="CE43" s="9" t="str">
        <f t="shared" ca="1" si="16"/>
        <v/>
      </c>
      <c r="CF43" s="9" t="str">
        <f t="shared" ca="1" si="17"/>
        <v/>
      </c>
      <c r="CG43" s="9" t="str">
        <f t="shared" ca="1" si="18"/>
        <v/>
      </c>
      <c r="CJ43" s="9">
        <v>7</v>
      </c>
      <c r="CK43" s="11" t="s">
        <v>119</v>
      </c>
      <c r="CL43" s="9">
        <f ca="1">ROUND(COUNTIF(BJ34:BJ37,TRUE)/_times_of_one_operation,2)</f>
        <v>1.33</v>
      </c>
      <c r="CM43" s="9">
        <f ca="1">ROUND(COUNTIF(BK34:BK37,TRUE)/_times_of_one_operation,2)</f>
        <v>1.33</v>
      </c>
      <c r="CN43" s="9">
        <f ca="1">ROUND(COUNTIF(BL34:BL37,TRUE)/_times_of_one_operation,2)</f>
        <v>1.33</v>
      </c>
      <c r="CQ43" s="9">
        <v>7</v>
      </c>
      <c r="CR43" s="11" t="s">
        <v>119</v>
      </c>
      <c r="CS43" s="9">
        <f ca="1">ROUND(COUNTIF(BQ34:BQ37,TRUE)/_times_of_one_operation,2)</f>
        <v>0</v>
      </c>
      <c r="CT43" s="9">
        <f ca="1">ROUND(COUNTIF(BR34:BR37,TRUE)/_times_of_one_operation,2)</f>
        <v>0</v>
      </c>
      <c r="CU43" s="9">
        <f ca="1">ROUND(COUNTIF(BS34:BS37,TRUE)/_times_of_one_operation,2)</f>
        <v>0</v>
      </c>
      <c r="CX43" s="9">
        <v>7</v>
      </c>
      <c r="CY43" s="11" t="s">
        <v>119</v>
      </c>
      <c r="CZ43" s="9">
        <f ca="1">ROUND(COUNTIF(BX34:BX37,TRUE)/_times_of_one_operation,2)</f>
        <v>0</v>
      </c>
      <c r="DA43" s="9">
        <f ca="1">ROUND(COUNTIF(BY34:BY37,TRUE)/_times_of_one_operation,2)</f>
        <v>0</v>
      </c>
      <c r="DB43" s="9">
        <f ca="1">ROUND(COUNTIF(BZ34:BZ37,TRUE)/_times_of_one_operation,2)</f>
        <v>0</v>
      </c>
      <c r="DE43" s="9">
        <v>7</v>
      </c>
      <c r="DF43" s="11" t="s">
        <v>119</v>
      </c>
      <c r="DG43" s="9">
        <f ca="1">ROUND(COUNTIF(CE34:CE37,TRUE)/_times_of_one_operation,2)</f>
        <v>0</v>
      </c>
      <c r="DH43" s="9">
        <f ca="1">ROUND(COUNTIF(CF34:CF37,TRUE)/_times_of_one_operation,2)</f>
        <v>0</v>
      </c>
      <c r="DI43" s="9">
        <f ca="1">ROUND(COUNTIF(CG34:CG37,TRUE)/_times_of_one_operation,2)</f>
        <v>0</v>
      </c>
    </row>
    <row r="44" spans="37:113" ht="16.5" customHeight="1">
      <c r="AL44" s="12"/>
      <c r="AS44" s="12"/>
      <c r="AZ44" s="9">
        <v>35</v>
      </c>
      <c r="BA44" s="11">
        <f t="shared" si="26"/>
        <v>36892.354166666584</v>
      </c>
      <c r="BB44" s="9" cm="1">
        <f t="array" aca="1" ref="BB44" ca="1">INDIRECT(ADDRESS(2+$AZ44,1+MATCH($AE$9,INDIRECT($AE$16&amp;"!$B$2:$R$2"),0),1,1,$AE$16))</f>
        <v>0</v>
      </c>
      <c r="BC44" s="9" cm="1">
        <f t="array" aca="1" ref="BC44" ca="1">INDIRECT(ADDRESS(2+$AZ44,1+MATCH($AE$9,INDIRECT($AE$17&amp;"!$B$2:$R$2"),0),1,1,$AE$17))</f>
        <v>0</v>
      </c>
      <c r="BD44" s="9" cm="1">
        <f t="array" aca="1" ref="BD44" ca="1">INDIRECT(ADDRESS(2+$AZ44,1+MATCH($AE$9,INDIRECT($AE$18&amp;"!$B$2:$R$2"),0),1,1,$AE$18))</f>
        <v>0</v>
      </c>
      <c r="BH44" s="9">
        <v>35</v>
      </c>
      <c r="BI44" s="11">
        <f t="shared" si="27"/>
        <v>36892.354166666584</v>
      </c>
      <c r="BJ44" s="9" t="b">
        <f t="shared" ca="1" si="7"/>
        <v>1</v>
      </c>
      <c r="BK44" s="9" t="b">
        <f t="shared" ca="1" si="8"/>
        <v>1</v>
      </c>
      <c r="BL44" s="9" t="b">
        <f t="shared" ca="1" si="9"/>
        <v>1</v>
      </c>
      <c r="BO44" s="9">
        <v>35</v>
      </c>
      <c r="BP44" s="11">
        <f t="shared" si="28"/>
        <v>36892.354166666584</v>
      </c>
      <c r="BQ44" s="9" t="str">
        <f t="shared" ca="1" si="10"/>
        <v/>
      </c>
      <c r="BR44" s="9" t="str">
        <f t="shared" ca="1" si="11"/>
        <v/>
      </c>
      <c r="BS44" s="9" t="str">
        <f t="shared" ca="1" si="12"/>
        <v/>
      </c>
      <c r="BV44" s="9">
        <v>35</v>
      </c>
      <c r="BW44" s="11">
        <f t="shared" si="29"/>
        <v>36892.354166666584</v>
      </c>
      <c r="BX44" s="9" t="str">
        <f t="shared" ca="1" si="13"/>
        <v/>
      </c>
      <c r="BY44" s="9" t="str">
        <f t="shared" ca="1" si="14"/>
        <v/>
      </c>
      <c r="BZ44" s="9" t="str">
        <f t="shared" ca="1" si="15"/>
        <v/>
      </c>
      <c r="CC44" s="9">
        <v>35</v>
      </c>
      <c r="CD44" s="11">
        <f t="shared" si="30"/>
        <v>36892.354166666584</v>
      </c>
      <c r="CE44" s="9" t="str">
        <f t="shared" ca="1" si="16"/>
        <v/>
      </c>
      <c r="CF44" s="9" t="str">
        <f t="shared" ca="1" si="17"/>
        <v/>
      </c>
      <c r="CG44" s="9" t="str">
        <f t="shared" ca="1" si="18"/>
        <v/>
      </c>
      <c r="CJ44" s="9">
        <v>8</v>
      </c>
      <c r="CK44" s="11" t="s">
        <v>121</v>
      </c>
      <c r="CL44" s="9">
        <f ca="1">ROUND(COUNTIF(BJ38:BJ41,TRUE)/_times_of_one_operation,2)</f>
        <v>1</v>
      </c>
      <c r="CM44" s="9">
        <f ca="1">ROUND(COUNTIF(BK38:BK41,TRUE)/_times_of_one_operation,2)</f>
        <v>1</v>
      </c>
      <c r="CN44" s="9">
        <f ca="1">ROUND(COUNTIF(BL38:BL41,TRUE)/_times_of_one_operation,2)</f>
        <v>0.33</v>
      </c>
      <c r="CQ44" s="9">
        <v>8</v>
      </c>
      <c r="CR44" s="11" t="s">
        <v>121</v>
      </c>
      <c r="CS44" s="9">
        <f ca="1">ROUND(COUNTIF(BQ38:BQ41,TRUE)/_times_of_one_operation,2)</f>
        <v>0.33</v>
      </c>
      <c r="CT44" s="9">
        <f ca="1">ROUND(COUNTIF(BR38:BR41,TRUE)/_times_of_one_operation,2)</f>
        <v>0.33</v>
      </c>
      <c r="CU44" s="9">
        <f ca="1">ROUND(COUNTIF(BS38:BS41,TRUE)/_times_of_one_operation,2)</f>
        <v>1</v>
      </c>
      <c r="CX44" s="9">
        <v>8</v>
      </c>
      <c r="CY44" s="11" t="s">
        <v>121</v>
      </c>
      <c r="CZ44" s="9">
        <f ca="1">ROUND(COUNTIF(BX38:BX41,TRUE)/_times_of_one_operation,2)</f>
        <v>0</v>
      </c>
      <c r="DA44" s="9">
        <f ca="1">ROUND(COUNTIF(BY38:BY41,TRUE)/_times_of_one_operation,2)</f>
        <v>0</v>
      </c>
      <c r="DB44" s="9">
        <f ca="1">ROUND(COUNTIF(BZ38:BZ41,TRUE)/_times_of_one_operation,2)</f>
        <v>0</v>
      </c>
      <c r="DE44" s="9">
        <v>8</v>
      </c>
      <c r="DF44" s="11" t="s">
        <v>121</v>
      </c>
      <c r="DG44" s="9">
        <f ca="1">ROUND(COUNTIF(CE38:CE41,TRUE)/_times_of_one_operation,2)</f>
        <v>0</v>
      </c>
      <c r="DH44" s="9">
        <f ca="1">ROUND(COUNTIF(CF38:CF41,TRUE)/_times_of_one_operation,2)</f>
        <v>0</v>
      </c>
      <c r="DI44" s="9">
        <f ca="1">ROUND(COUNTIF(CG38:CG41,TRUE)/_times_of_one_operation,2)</f>
        <v>0</v>
      </c>
    </row>
    <row r="45" spans="37:113" ht="16.5" customHeight="1">
      <c r="AL45" s="12"/>
      <c r="AS45" s="12"/>
      <c r="AZ45" s="9">
        <v>36</v>
      </c>
      <c r="BA45" s="11">
        <f t="shared" si="26"/>
        <v>36892.364583333248</v>
      </c>
      <c r="BB45" s="9" cm="1">
        <f t="array" aca="1" ref="BB45" ca="1">INDIRECT(ADDRESS(2+$AZ45,1+MATCH($AE$9,INDIRECT($AE$16&amp;"!$B$2:$R$2"),0),1,1,$AE$16))</f>
        <v>0</v>
      </c>
      <c r="BC45" s="9" cm="1">
        <f t="array" aca="1" ref="BC45" ca="1">INDIRECT(ADDRESS(2+$AZ45,1+MATCH($AE$9,INDIRECT($AE$17&amp;"!$B$2:$R$2"),0),1,1,$AE$17))</f>
        <v>0</v>
      </c>
      <c r="BD45" s="9" cm="1">
        <f t="array" aca="1" ref="BD45" ca="1">INDIRECT(ADDRESS(2+$AZ45,1+MATCH($AE$9,INDIRECT($AE$18&amp;"!$B$2:$R$2"),0),1,1,$AE$18))</f>
        <v>0</v>
      </c>
      <c r="BH45" s="9">
        <v>36</v>
      </c>
      <c r="BI45" s="11">
        <f t="shared" si="27"/>
        <v>36892.364583333248</v>
      </c>
      <c r="BJ45" s="9" t="b">
        <f t="shared" ca="1" si="7"/>
        <v>1</v>
      </c>
      <c r="BK45" s="9" t="b">
        <f t="shared" ca="1" si="8"/>
        <v>1</v>
      </c>
      <c r="BL45" s="9" t="b">
        <f t="shared" ca="1" si="9"/>
        <v>1</v>
      </c>
      <c r="BO45" s="9">
        <v>36</v>
      </c>
      <c r="BP45" s="11">
        <f t="shared" si="28"/>
        <v>36892.364583333248</v>
      </c>
      <c r="BQ45" s="9" t="str">
        <f t="shared" ca="1" si="10"/>
        <v/>
      </c>
      <c r="BR45" s="9" t="str">
        <f t="shared" ca="1" si="11"/>
        <v/>
      </c>
      <c r="BS45" s="9" t="str">
        <f t="shared" ca="1" si="12"/>
        <v/>
      </c>
      <c r="BV45" s="9">
        <v>36</v>
      </c>
      <c r="BW45" s="11">
        <f t="shared" si="29"/>
        <v>36892.364583333248</v>
      </c>
      <c r="BX45" s="9" t="str">
        <f t="shared" ca="1" si="13"/>
        <v/>
      </c>
      <c r="BY45" s="9" t="str">
        <f t="shared" ca="1" si="14"/>
        <v/>
      </c>
      <c r="BZ45" s="9" t="str">
        <f t="shared" ca="1" si="15"/>
        <v/>
      </c>
      <c r="CC45" s="9">
        <v>36</v>
      </c>
      <c r="CD45" s="11">
        <f t="shared" si="30"/>
        <v>36892.364583333248</v>
      </c>
      <c r="CE45" s="9" t="str">
        <f t="shared" ca="1" si="16"/>
        <v/>
      </c>
      <c r="CF45" s="9" t="str">
        <f t="shared" ca="1" si="17"/>
        <v/>
      </c>
      <c r="CG45" s="9" t="str">
        <f t="shared" ca="1" si="18"/>
        <v/>
      </c>
      <c r="CJ45" s="9">
        <v>9</v>
      </c>
      <c r="CK45" s="11" t="s">
        <v>123</v>
      </c>
      <c r="CL45" s="9">
        <f ca="1">ROUND(COUNTIF(BJ42:BJ45,TRUE)/_times_of_one_operation,2)</f>
        <v>0.67</v>
      </c>
      <c r="CM45" s="9">
        <f ca="1">ROUND(COUNTIF(BK42:BK45,TRUE)/_times_of_one_operation,2)</f>
        <v>0.67</v>
      </c>
      <c r="CN45" s="9">
        <f ca="1">ROUND(COUNTIF(BL42:BL45,TRUE)/_times_of_one_operation,2)</f>
        <v>1.33</v>
      </c>
      <c r="CQ45" s="9">
        <v>9</v>
      </c>
      <c r="CR45" s="11" t="s">
        <v>123</v>
      </c>
      <c r="CS45" s="9">
        <f ca="1">ROUND(COUNTIF(BQ42:BQ45,TRUE)/_times_of_one_operation,2)</f>
        <v>0.67</v>
      </c>
      <c r="CT45" s="9">
        <f ca="1">ROUND(COUNTIF(BR42:BR45,TRUE)/_times_of_one_operation,2)</f>
        <v>0.67</v>
      </c>
      <c r="CU45" s="9">
        <f ca="1">ROUND(COUNTIF(BS42:BS45,TRUE)/_times_of_one_operation,2)</f>
        <v>0</v>
      </c>
      <c r="CX45" s="9">
        <v>9</v>
      </c>
      <c r="CY45" s="11" t="s">
        <v>123</v>
      </c>
      <c r="CZ45" s="9">
        <f ca="1">ROUND(COUNTIF(BX42:BX45,TRUE)/_times_of_one_operation,2)</f>
        <v>0</v>
      </c>
      <c r="DA45" s="9">
        <f ca="1">ROUND(COUNTIF(BY42:BY45,TRUE)/_times_of_one_operation,2)</f>
        <v>0</v>
      </c>
      <c r="DB45" s="9">
        <f ca="1">ROUND(COUNTIF(BZ42:BZ45,TRUE)/_times_of_one_operation,2)</f>
        <v>0</v>
      </c>
      <c r="DE45" s="9">
        <v>9</v>
      </c>
      <c r="DF45" s="11" t="s">
        <v>123</v>
      </c>
      <c r="DG45" s="9">
        <f ca="1">ROUND(COUNTIF(CE42:CE45,TRUE)/_times_of_one_operation,2)</f>
        <v>0</v>
      </c>
      <c r="DH45" s="9">
        <f ca="1">ROUND(COUNTIF(CF42:CF45,TRUE)/_times_of_one_operation,2)</f>
        <v>0</v>
      </c>
      <c r="DI45" s="9">
        <f ca="1">ROUND(COUNTIF(CG42:CG45,TRUE)/_times_of_one_operation,2)</f>
        <v>0</v>
      </c>
    </row>
    <row r="46" spans="37:113" ht="16.5" customHeight="1">
      <c r="AL46" s="12"/>
      <c r="AS46" s="12"/>
      <c r="AZ46" s="9">
        <v>37</v>
      </c>
      <c r="BA46" s="11">
        <f t="shared" si="26"/>
        <v>36892.374999999913</v>
      </c>
      <c r="BB46" s="9" cm="1">
        <f t="array" aca="1" ref="BB46" ca="1">INDIRECT(ADDRESS(2+$AZ46,1+MATCH($AE$9,INDIRECT($AE$16&amp;"!$B$2:$R$2"),0),1,1,$AE$16))</f>
        <v>0</v>
      </c>
      <c r="BC46" s="9" cm="1">
        <f t="array" aca="1" ref="BC46" ca="1">INDIRECT(ADDRESS(2+$AZ46,1+MATCH($AE$9,INDIRECT($AE$17&amp;"!$B$2:$R$2"),0),1,1,$AE$17))</f>
        <v>0</v>
      </c>
      <c r="BD46" s="9" cm="1">
        <f t="array" aca="1" ref="BD46" ca="1">INDIRECT(ADDRESS(2+$AZ46,1+MATCH($AE$9,INDIRECT($AE$18&amp;"!$B$2:$R$2"),0),1,1,$AE$18))</f>
        <v>0</v>
      </c>
      <c r="BH46" s="9">
        <v>37</v>
      </c>
      <c r="BI46" s="11">
        <f t="shared" si="27"/>
        <v>36892.374999999913</v>
      </c>
      <c r="BJ46" s="9" t="b">
        <f t="shared" ca="1" si="7"/>
        <v>1</v>
      </c>
      <c r="BK46" s="9" t="b">
        <f t="shared" ca="1" si="8"/>
        <v>1</v>
      </c>
      <c r="BL46" s="9" t="b">
        <f t="shared" ca="1" si="9"/>
        <v>1</v>
      </c>
      <c r="BO46" s="9">
        <v>37</v>
      </c>
      <c r="BP46" s="11">
        <f t="shared" si="28"/>
        <v>36892.374999999913</v>
      </c>
      <c r="BQ46" s="9" t="str">
        <f t="shared" ca="1" si="10"/>
        <v/>
      </c>
      <c r="BR46" s="9" t="str">
        <f t="shared" ca="1" si="11"/>
        <v/>
      </c>
      <c r="BS46" s="9" t="str">
        <f t="shared" ca="1" si="12"/>
        <v/>
      </c>
      <c r="BV46" s="9">
        <v>37</v>
      </c>
      <c r="BW46" s="11">
        <f t="shared" si="29"/>
        <v>36892.374999999913</v>
      </c>
      <c r="BX46" s="9" t="str">
        <f t="shared" ca="1" si="13"/>
        <v/>
      </c>
      <c r="BY46" s="9" t="str">
        <f t="shared" ca="1" si="14"/>
        <v/>
      </c>
      <c r="BZ46" s="9" t="str">
        <f t="shared" ca="1" si="15"/>
        <v/>
      </c>
      <c r="CC46" s="9">
        <v>37</v>
      </c>
      <c r="CD46" s="11">
        <f t="shared" si="30"/>
        <v>36892.374999999913</v>
      </c>
      <c r="CE46" s="9" t="str">
        <f t="shared" ca="1" si="16"/>
        <v/>
      </c>
      <c r="CF46" s="9" t="str">
        <f t="shared" ca="1" si="17"/>
        <v/>
      </c>
      <c r="CG46" s="9" t="str">
        <f t="shared" ca="1" si="18"/>
        <v/>
      </c>
      <c r="CJ46" s="9">
        <v>10</v>
      </c>
      <c r="CK46" s="11" t="s">
        <v>125</v>
      </c>
      <c r="CL46" s="9">
        <f ca="1">ROUND(COUNTIF(BJ46:BJ49,TRUE)/_times_of_one_operation,2)</f>
        <v>1.33</v>
      </c>
      <c r="CM46" s="9">
        <f ca="1">ROUND(COUNTIF(BK46:BK49,TRUE)/_times_of_one_operation,2)</f>
        <v>1.33</v>
      </c>
      <c r="CN46" s="9">
        <f ca="1">ROUND(COUNTIF(BL46:BL49,TRUE)/_times_of_one_operation,2)</f>
        <v>1.33</v>
      </c>
      <c r="CQ46" s="9">
        <v>10</v>
      </c>
      <c r="CR46" s="11" t="s">
        <v>125</v>
      </c>
      <c r="CS46" s="9">
        <f ca="1">ROUND(COUNTIF(BQ46:BQ49,TRUE)/_times_of_one_operation,2)</f>
        <v>0</v>
      </c>
      <c r="CT46" s="9">
        <f ca="1">ROUND(COUNTIF(BR46:BR49,TRUE)/_times_of_one_operation,2)</f>
        <v>0</v>
      </c>
      <c r="CU46" s="9">
        <f ca="1">ROUND(COUNTIF(BS46:BS49,TRUE)/_times_of_one_operation,2)</f>
        <v>0</v>
      </c>
      <c r="CX46" s="9">
        <v>10</v>
      </c>
      <c r="CY46" s="11" t="s">
        <v>125</v>
      </c>
      <c r="CZ46" s="9">
        <f ca="1">ROUND(COUNTIF(BX46:BX49,TRUE)/_times_of_one_operation,2)</f>
        <v>0</v>
      </c>
      <c r="DA46" s="9">
        <f ca="1">ROUND(COUNTIF(BY46:BY49,TRUE)/_times_of_one_operation,2)</f>
        <v>0</v>
      </c>
      <c r="DB46" s="9">
        <f ca="1">ROUND(COUNTIF(BZ46:BZ49,TRUE)/_times_of_one_operation,2)</f>
        <v>0</v>
      </c>
      <c r="DE46" s="9">
        <v>10</v>
      </c>
      <c r="DF46" s="11" t="s">
        <v>125</v>
      </c>
      <c r="DG46" s="9">
        <f ca="1">ROUND(COUNTIF(CE46:CE49,TRUE)/_times_of_one_operation,2)</f>
        <v>0</v>
      </c>
      <c r="DH46" s="9">
        <f ca="1">ROUND(COUNTIF(CF46:CF49,TRUE)/_times_of_one_operation,2)</f>
        <v>0</v>
      </c>
      <c r="DI46" s="9">
        <f ca="1">ROUND(COUNTIF(CG46:CG49,TRUE)/_times_of_one_operation,2)</f>
        <v>0</v>
      </c>
    </row>
    <row r="47" spans="37:113" ht="16.5" customHeight="1">
      <c r="AL47" s="12"/>
      <c r="AS47" s="12"/>
      <c r="AZ47" s="9">
        <v>38</v>
      </c>
      <c r="BA47" s="11">
        <f t="shared" si="26"/>
        <v>36892.385416666577</v>
      </c>
      <c r="BB47" s="9" cm="1">
        <f t="array" aca="1" ref="BB47" ca="1">INDIRECT(ADDRESS(2+$AZ47,1+MATCH($AE$9,INDIRECT($AE$16&amp;"!$B$2:$R$2"),0),1,1,$AE$16))</f>
        <v>0</v>
      </c>
      <c r="BC47" s="9" cm="1">
        <f t="array" aca="1" ref="BC47" ca="1">INDIRECT(ADDRESS(2+$AZ47,1+MATCH($AE$9,INDIRECT($AE$17&amp;"!$B$2:$R$2"),0),1,1,$AE$17))</f>
        <v>0</v>
      </c>
      <c r="BD47" s="9" cm="1">
        <f t="array" aca="1" ref="BD47" ca="1">INDIRECT(ADDRESS(2+$AZ47,1+MATCH($AE$9,INDIRECT($AE$18&amp;"!$B$2:$R$2"),0),1,1,$AE$18))</f>
        <v>0</v>
      </c>
      <c r="BH47" s="9">
        <v>38</v>
      </c>
      <c r="BI47" s="11">
        <f t="shared" si="27"/>
        <v>36892.385416666577</v>
      </c>
      <c r="BJ47" s="9" t="b">
        <f t="shared" ca="1" si="7"/>
        <v>1</v>
      </c>
      <c r="BK47" s="9" t="b">
        <f t="shared" ca="1" si="8"/>
        <v>1</v>
      </c>
      <c r="BL47" s="9" t="b">
        <f t="shared" ca="1" si="9"/>
        <v>1</v>
      </c>
      <c r="BO47" s="9">
        <v>38</v>
      </c>
      <c r="BP47" s="11">
        <f t="shared" si="28"/>
        <v>36892.385416666577</v>
      </c>
      <c r="BQ47" s="9" t="str">
        <f t="shared" ca="1" si="10"/>
        <v/>
      </c>
      <c r="BR47" s="9" t="str">
        <f t="shared" ca="1" si="11"/>
        <v/>
      </c>
      <c r="BS47" s="9" t="str">
        <f t="shared" ca="1" si="12"/>
        <v/>
      </c>
      <c r="BV47" s="9">
        <v>38</v>
      </c>
      <c r="BW47" s="11">
        <f t="shared" si="29"/>
        <v>36892.385416666577</v>
      </c>
      <c r="BX47" s="9" t="str">
        <f t="shared" ca="1" si="13"/>
        <v/>
      </c>
      <c r="BY47" s="9" t="str">
        <f t="shared" ca="1" si="14"/>
        <v/>
      </c>
      <c r="BZ47" s="9" t="str">
        <f t="shared" ca="1" si="15"/>
        <v/>
      </c>
      <c r="CC47" s="9">
        <v>38</v>
      </c>
      <c r="CD47" s="11">
        <f t="shared" si="30"/>
        <v>36892.385416666577</v>
      </c>
      <c r="CE47" s="9" t="str">
        <f t="shared" ca="1" si="16"/>
        <v/>
      </c>
      <c r="CF47" s="9" t="str">
        <f t="shared" ca="1" si="17"/>
        <v/>
      </c>
      <c r="CG47" s="9" t="str">
        <f t="shared" ca="1" si="18"/>
        <v/>
      </c>
      <c r="CJ47" s="9">
        <v>11</v>
      </c>
      <c r="CK47" s="11" t="s">
        <v>6</v>
      </c>
      <c r="CL47" s="9">
        <f ca="1">ROUND(COUNTIF(BJ50:BJ53,TRUE)/_times_of_one_operation,2)</f>
        <v>1.33</v>
      </c>
      <c r="CM47" s="9">
        <f ca="1">ROUND(COUNTIF(BK50:BK53,TRUE)/_times_of_one_operation,2)</f>
        <v>1.33</v>
      </c>
      <c r="CN47" s="9">
        <f ca="1">ROUND(COUNTIF(BL50:BL53,TRUE)/_times_of_one_operation,2)</f>
        <v>1.33</v>
      </c>
      <c r="CQ47" s="9">
        <v>11</v>
      </c>
      <c r="CR47" s="11" t="s">
        <v>6</v>
      </c>
      <c r="CS47" s="9">
        <f ca="1">ROUND(COUNTIF(BQ50:BQ53,TRUE)/_times_of_one_operation,2)</f>
        <v>0</v>
      </c>
      <c r="CT47" s="9">
        <f ca="1">ROUND(COUNTIF(BR50:BR53,TRUE)/_times_of_one_operation,2)</f>
        <v>0</v>
      </c>
      <c r="CU47" s="9">
        <f ca="1">ROUND(COUNTIF(BS50:BS53,TRUE)/_times_of_one_operation,2)</f>
        <v>0</v>
      </c>
      <c r="CX47" s="9">
        <v>11</v>
      </c>
      <c r="CY47" s="11" t="s">
        <v>6</v>
      </c>
      <c r="CZ47" s="9">
        <f ca="1">ROUND(COUNTIF(BX50:BX53,TRUE)/_times_of_one_operation,2)</f>
        <v>0</v>
      </c>
      <c r="DA47" s="9">
        <f ca="1">ROUND(COUNTIF(BY50:BY53,TRUE)/_times_of_one_operation,2)</f>
        <v>0</v>
      </c>
      <c r="DB47" s="9">
        <f ca="1">ROUND(COUNTIF(BZ50:BZ53,TRUE)/_times_of_one_operation,2)</f>
        <v>0</v>
      </c>
      <c r="DE47" s="9">
        <v>11</v>
      </c>
      <c r="DF47" s="11" t="s">
        <v>6</v>
      </c>
      <c r="DG47" s="9">
        <f ca="1">ROUND(COUNTIF(CE50:CE53,TRUE)/_times_of_one_operation,2)</f>
        <v>0</v>
      </c>
      <c r="DH47" s="9">
        <f ca="1">ROUND(COUNTIF(CF50:CF53,TRUE)/_times_of_one_operation,2)</f>
        <v>0</v>
      </c>
      <c r="DI47" s="9">
        <f ca="1">ROUND(COUNTIF(CG50:CG53,TRUE)/_times_of_one_operation,2)</f>
        <v>0</v>
      </c>
    </row>
    <row r="48" spans="37:113" ht="16.5" customHeight="1">
      <c r="AL48" s="12"/>
      <c r="AS48" s="12"/>
      <c r="AZ48" s="9">
        <v>39</v>
      </c>
      <c r="BA48" s="11">
        <f t="shared" si="26"/>
        <v>36892.395833333241</v>
      </c>
      <c r="BB48" s="9" cm="1">
        <f t="array" aca="1" ref="BB48" ca="1">INDIRECT(ADDRESS(2+$AZ48,1+MATCH($AE$9,INDIRECT($AE$16&amp;"!$B$2:$R$2"),0),1,1,$AE$16))</f>
        <v>0</v>
      </c>
      <c r="BC48" s="9" cm="1">
        <f t="array" aca="1" ref="BC48" ca="1">INDIRECT(ADDRESS(2+$AZ48,1+MATCH($AE$9,INDIRECT($AE$17&amp;"!$B$2:$R$2"),0),1,1,$AE$17))</f>
        <v>0</v>
      </c>
      <c r="BD48" s="9" cm="1">
        <f t="array" aca="1" ref="BD48" ca="1">INDIRECT(ADDRESS(2+$AZ48,1+MATCH($AE$9,INDIRECT($AE$18&amp;"!$B$2:$R$2"),0),1,1,$AE$18))</f>
        <v>0</v>
      </c>
      <c r="BH48" s="9">
        <v>39</v>
      </c>
      <c r="BI48" s="11">
        <f t="shared" si="27"/>
        <v>36892.395833333241</v>
      </c>
      <c r="BJ48" s="9" t="b">
        <f t="shared" ca="1" si="7"/>
        <v>1</v>
      </c>
      <c r="BK48" s="9" t="b">
        <f t="shared" ca="1" si="8"/>
        <v>1</v>
      </c>
      <c r="BL48" s="9" t="b">
        <f t="shared" ca="1" si="9"/>
        <v>1</v>
      </c>
      <c r="BO48" s="9">
        <v>39</v>
      </c>
      <c r="BP48" s="11">
        <f t="shared" si="28"/>
        <v>36892.395833333241</v>
      </c>
      <c r="BQ48" s="9" t="str">
        <f t="shared" ca="1" si="10"/>
        <v/>
      </c>
      <c r="BR48" s="9" t="str">
        <f t="shared" ca="1" si="11"/>
        <v/>
      </c>
      <c r="BS48" s="9" t="str">
        <f t="shared" ca="1" si="12"/>
        <v/>
      </c>
      <c r="BV48" s="9">
        <v>39</v>
      </c>
      <c r="BW48" s="11">
        <f t="shared" si="29"/>
        <v>36892.395833333241</v>
      </c>
      <c r="BX48" s="9" t="str">
        <f t="shared" ca="1" si="13"/>
        <v/>
      </c>
      <c r="BY48" s="9" t="str">
        <f t="shared" ca="1" si="14"/>
        <v/>
      </c>
      <c r="BZ48" s="9" t="str">
        <f t="shared" ca="1" si="15"/>
        <v/>
      </c>
      <c r="CC48" s="9">
        <v>39</v>
      </c>
      <c r="CD48" s="11">
        <f t="shared" si="30"/>
        <v>36892.395833333241</v>
      </c>
      <c r="CE48" s="9" t="str">
        <f t="shared" ca="1" si="16"/>
        <v/>
      </c>
      <c r="CF48" s="9" t="str">
        <f t="shared" ca="1" si="17"/>
        <v/>
      </c>
      <c r="CG48" s="9" t="str">
        <f t="shared" ca="1" si="18"/>
        <v/>
      </c>
      <c r="CJ48" s="9">
        <v>12</v>
      </c>
      <c r="CK48" s="11" t="s">
        <v>7</v>
      </c>
      <c r="CL48" s="9">
        <f ca="1">ROUND(COUNTIF(BJ54:BJ57,TRUE)/_times_of_one_operation,2)</f>
        <v>1.33</v>
      </c>
      <c r="CM48" s="9">
        <f ca="1">ROUND(COUNTIF(BK54:BK57,TRUE)/_times_of_one_operation,2)</f>
        <v>1.33</v>
      </c>
      <c r="CN48" s="9">
        <f ca="1">ROUND(COUNTIF(BL54:BL57,TRUE)/_times_of_one_operation,2)</f>
        <v>1.33</v>
      </c>
      <c r="CQ48" s="9">
        <v>12</v>
      </c>
      <c r="CR48" s="11" t="s">
        <v>7</v>
      </c>
      <c r="CS48" s="9">
        <f ca="1">ROUND(COUNTIF(BQ54:BQ57,TRUE)/_times_of_one_operation,2)</f>
        <v>0</v>
      </c>
      <c r="CT48" s="9">
        <f ca="1">ROUND(COUNTIF(BR54:BR57,TRUE)/_times_of_one_operation,2)</f>
        <v>0</v>
      </c>
      <c r="CU48" s="9">
        <f ca="1">ROUND(COUNTIF(BS54:BS57,TRUE)/_times_of_one_operation,2)</f>
        <v>0</v>
      </c>
      <c r="CX48" s="9">
        <v>12</v>
      </c>
      <c r="CY48" s="11" t="s">
        <v>7</v>
      </c>
      <c r="CZ48" s="9">
        <f ca="1">ROUND(COUNTIF(BX54:BX57,TRUE)/_times_of_one_operation,2)</f>
        <v>0</v>
      </c>
      <c r="DA48" s="9">
        <f ca="1">ROUND(COUNTIF(BY54:BY57,TRUE)/_times_of_one_operation,2)</f>
        <v>0</v>
      </c>
      <c r="DB48" s="9">
        <f ca="1">ROUND(COUNTIF(BZ54:BZ57,TRUE)/_times_of_one_operation,2)</f>
        <v>0</v>
      </c>
      <c r="DE48" s="9">
        <v>12</v>
      </c>
      <c r="DF48" s="11" t="s">
        <v>7</v>
      </c>
      <c r="DG48" s="9">
        <f ca="1">ROUND(COUNTIF(CE54:CE57,TRUE)/_times_of_one_operation,2)</f>
        <v>0</v>
      </c>
      <c r="DH48" s="9">
        <f ca="1">ROUND(COUNTIF(CF54:CF57,TRUE)/_times_of_one_operation,2)</f>
        <v>0</v>
      </c>
      <c r="DI48" s="9">
        <f ca="1">ROUND(COUNTIF(CG54:CG57,TRUE)/_times_of_one_operation,2)</f>
        <v>0</v>
      </c>
    </row>
    <row r="49" spans="38:113" ht="16.5" customHeight="1">
      <c r="AL49" s="12"/>
      <c r="AS49" s="12"/>
      <c r="AZ49" s="9">
        <v>40</v>
      </c>
      <c r="BA49" s="11">
        <f t="shared" si="26"/>
        <v>36892.406249999905</v>
      </c>
      <c r="BB49" s="9" cm="1">
        <f t="array" aca="1" ref="BB49" ca="1">INDIRECT(ADDRESS(2+$AZ49,1+MATCH($AE$9,INDIRECT($AE$16&amp;"!$B$2:$R$2"),0),1,1,$AE$16))</f>
        <v>0</v>
      </c>
      <c r="BC49" s="9" cm="1">
        <f t="array" aca="1" ref="BC49" ca="1">INDIRECT(ADDRESS(2+$AZ49,1+MATCH($AE$9,INDIRECT($AE$17&amp;"!$B$2:$R$2"),0),1,1,$AE$17))</f>
        <v>0</v>
      </c>
      <c r="BD49" s="9" cm="1">
        <f t="array" aca="1" ref="BD49" ca="1">INDIRECT(ADDRESS(2+$AZ49,1+MATCH($AE$9,INDIRECT($AE$18&amp;"!$B$2:$R$2"),0),1,1,$AE$18))</f>
        <v>0</v>
      </c>
      <c r="BH49" s="9">
        <v>40</v>
      </c>
      <c r="BI49" s="11">
        <f t="shared" si="27"/>
        <v>36892.406249999905</v>
      </c>
      <c r="BJ49" s="9" t="b">
        <f t="shared" ca="1" si="7"/>
        <v>1</v>
      </c>
      <c r="BK49" s="9" t="b">
        <f t="shared" ca="1" si="8"/>
        <v>1</v>
      </c>
      <c r="BL49" s="9" t="b">
        <f t="shared" ca="1" si="9"/>
        <v>1</v>
      </c>
      <c r="BO49" s="9">
        <v>40</v>
      </c>
      <c r="BP49" s="11">
        <f t="shared" si="28"/>
        <v>36892.406249999905</v>
      </c>
      <c r="BQ49" s="9" t="str">
        <f t="shared" ca="1" si="10"/>
        <v/>
      </c>
      <c r="BR49" s="9" t="str">
        <f t="shared" ca="1" si="11"/>
        <v/>
      </c>
      <c r="BS49" s="9" t="str">
        <f t="shared" ca="1" si="12"/>
        <v/>
      </c>
      <c r="BV49" s="9">
        <v>40</v>
      </c>
      <c r="BW49" s="11">
        <f t="shared" si="29"/>
        <v>36892.406249999905</v>
      </c>
      <c r="BX49" s="9" t="str">
        <f t="shared" ca="1" si="13"/>
        <v/>
      </c>
      <c r="BY49" s="9" t="str">
        <f t="shared" ca="1" si="14"/>
        <v/>
      </c>
      <c r="BZ49" s="9" t="str">
        <f t="shared" ca="1" si="15"/>
        <v/>
      </c>
      <c r="CC49" s="9">
        <v>40</v>
      </c>
      <c r="CD49" s="11">
        <f t="shared" si="30"/>
        <v>36892.406249999905</v>
      </c>
      <c r="CE49" s="9" t="str">
        <f t="shared" ca="1" si="16"/>
        <v/>
      </c>
      <c r="CF49" s="9" t="str">
        <f t="shared" ca="1" si="17"/>
        <v/>
      </c>
      <c r="CG49" s="9" t="str">
        <f t="shared" ca="1" si="18"/>
        <v/>
      </c>
      <c r="CJ49" s="9">
        <v>13</v>
      </c>
      <c r="CK49" s="11" t="s">
        <v>8</v>
      </c>
      <c r="CL49" s="9">
        <f ca="1">ROUND(COUNTIF(BJ58:BJ61,TRUE)/_times_of_one_operation,2)</f>
        <v>1.33</v>
      </c>
      <c r="CM49" s="9">
        <f ca="1">ROUND(COUNTIF(BK58:BK61,TRUE)/_times_of_one_operation,2)</f>
        <v>1.33</v>
      </c>
      <c r="CN49" s="9">
        <f ca="1">ROUND(COUNTIF(BL58:BL61,TRUE)/_times_of_one_operation,2)</f>
        <v>1.33</v>
      </c>
      <c r="CQ49" s="9">
        <v>13</v>
      </c>
      <c r="CR49" s="11" t="s">
        <v>8</v>
      </c>
      <c r="CS49" s="9">
        <f ca="1">ROUND(COUNTIF(BQ58:BQ61,TRUE)/_times_of_one_operation,2)</f>
        <v>0</v>
      </c>
      <c r="CT49" s="9">
        <f ca="1">ROUND(COUNTIF(BR58:BR61,TRUE)/_times_of_one_operation,2)</f>
        <v>0</v>
      </c>
      <c r="CU49" s="9">
        <f ca="1">ROUND(COUNTIF(BS58:BS61,TRUE)/_times_of_one_operation,2)</f>
        <v>0</v>
      </c>
      <c r="CX49" s="9">
        <v>13</v>
      </c>
      <c r="CY49" s="11" t="s">
        <v>8</v>
      </c>
      <c r="CZ49" s="9">
        <f ca="1">ROUND(COUNTIF(BX58:BX61,TRUE)/_times_of_one_operation,2)</f>
        <v>0</v>
      </c>
      <c r="DA49" s="9">
        <f ca="1">ROUND(COUNTIF(BY58:BY61,TRUE)/_times_of_one_operation,2)</f>
        <v>0</v>
      </c>
      <c r="DB49" s="9">
        <f ca="1">ROUND(COUNTIF(BZ58:BZ61,TRUE)/_times_of_one_operation,2)</f>
        <v>0</v>
      </c>
      <c r="DE49" s="9">
        <v>13</v>
      </c>
      <c r="DF49" s="11" t="s">
        <v>8</v>
      </c>
      <c r="DG49" s="9">
        <f ca="1">ROUND(COUNTIF(CE58:CE61,TRUE)/_times_of_one_operation,2)</f>
        <v>0</v>
      </c>
      <c r="DH49" s="9">
        <f ca="1">ROUND(COUNTIF(CF58:CF61,TRUE)/_times_of_one_operation,2)</f>
        <v>0</v>
      </c>
      <c r="DI49" s="9">
        <f ca="1">ROUND(COUNTIF(CG58:CG61,TRUE)/_times_of_one_operation,2)</f>
        <v>0</v>
      </c>
    </row>
    <row r="50" spans="38:113" ht="16.5" customHeight="1">
      <c r="AL50" s="12"/>
      <c r="AS50" s="12"/>
      <c r="AZ50" s="9">
        <v>41</v>
      </c>
      <c r="BA50" s="11">
        <f t="shared" si="26"/>
        <v>36892.41666666657</v>
      </c>
      <c r="BB50" s="9" cm="1">
        <f t="array" aca="1" ref="BB50" ca="1">INDIRECT(ADDRESS(2+$AZ50,1+MATCH($AE$9,INDIRECT($AE$16&amp;"!$B$2:$R$2"),0),1,1,$AE$16))</f>
        <v>0</v>
      </c>
      <c r="BC50" s="9" cm="1">
        <f t="array" aca="1" ref="BC50" ca="1">INDIRECT(ADDRESS(2+$AZ50,1+MATCH($AE$9,INDIRECT($AE$17&amp;"!$B$2:$R$2"),0),1,1,$AE$17))</f>
        <v>0</v>
      </c>
      <c r="BD50" s="9" cm="1">
        <f t="array" aca="1" ref="BD50" ca="1">INDIRECT(ADDRESS(2+$AZ50,1+MATCH($AE$9,INDIRECT($AE$18&amp;"!$B$2:$R$2"),0),1,1,$AE$18))</f>
        <v>0</v>
      </c>
      <c r="BH50" s="9">
        <v>41</v>
      </c>
      <c r="BI50" s="11">
        <f t="shared" si="27"/>
        <v>36892.41666666657</v>
      </c>
      <c r="BJ50" s="9" t="b">
        <f t="shared" ca="1" si="7"/>
        <v>1</v>
      </c>
      <c r="BK50" s="9" t="b">
        <f t="shared" ca="1" si="8"/>
        <v>1</v>
      </c>
      <c r="BL50" s="9" t="b">
        <f t="shared" ca="1" si="9"/>
        <v>1</v>
      </c>
      <c r="BO50" s="9">
        <v>41</v>
      </c>
      <c r="BP50" s="11">
        <f t="shared" si="28"/>
        <v>36892.41666666657</v>
      </c>
      <c r="BQ50" s="9" t="str">
        <f t="shared" ca="1" si="10"/>
        <v/>
      </c>
      <c r="BR50" s="9" t="str">
        <f t="shared" ca="1" si="11"/>
        <v/>
      </c>
      <c r="BS50" s="9" t="str">
        <f t="shared" ca="1" si="12"/>
        <v/>
      </c>
      <c r="BV50" s="9">
        <v>41</v>
      </c>
      <c r="BW50" s="11">
        <f t="shared" si="29"/>
        <v>36892.41666666657</v>
      </c>
      <c r="BX50" s="9" t="str">
        <f t="shared" ca="1" si="13"/>
        <v/>
      </c>
      <c r="BY50" s="9" t="str">
        <f t="shared" ca="1" si="14"/>
        <v/>
      </c>
      <c r="BZ50" s="9" t="str">
        <f t="shared" ca="1" si="15"/>
        <v/>
      </c>
      <c r="CC50" s="9">
        <v>41</v>
      </c>
      <c r="CD50" s="11">
        <f t="shared" si="30"/>
        <v>36892.41666666657</v>
      </c>
      <c r="CE50" s="9" t="str">
        <f t="shared" ca="1" si="16"/>
        <v/>
      </c>
      <c r="CF50" s="9" t="str">
        <f t="shared" ca="1" si="17"/>
        <v/>
      </c>
      <c r="CG50" s="9" t="str">
        <f t="shared" ca="1" si="18"/>
        <v/>
      </c>
      <c r="CJ50" s="9">
        <v>14</v>
      </c>
      <c r="CK50" s="11" t="s">
        <v>9</v>
      </c>
      <c r="CL50" s="9">
        <f ca="1">ROUND(COUNTIF(BJ62:BJ65,TRUE)/_times_of_one_operation,2)</f>
        <v>1.33</v>
      </c>
      <c r="CM50" s="9">
        <f ca="1">ROUND(COUNTIF(BK62:BK65,TRUE)/_times_of_one_operation,2)</f>
        <v>1.33</v>
      </c>
      <c r="CN50" s="9">
        <f ca="1">ROUND(COUNTIF(BL62:BL65,TRUE)/_times_of_one_operation,2)</f>
        <v>1.33</v>
      </c>
      <c r="CQ50" s="9">
        <v>14</v>
      </c>
      <c r="CR50" s="11" t="s">
        <v>9</v>
      </c>
      <c r="CS50" s="9">
        <f ca="1">ROUND(COUNTIF(BQ62:BQ65,TRUE)/_times_of_one_operation,2)</f>
        <v>0</v>
      </c>
      <c r="CT50" s="9">
        <f ca="1">ROUND(COUNTIF(BR62:BR65,TRUE)/_times_of_one_operation,2)</f>
        <v>0</v>
      </c>
      <c r="CU50" s="9">
        <f ca="1">ROUND(COUNTIF(BS62:BS65,TRUE)/_times_of_one_operation,2)</f>
        <v>0</v>
      </c>
      <c r="CX50" s="9">
        <v>14</v>
      </c>
      <c r="CY50" s="11" t="s">
        <v>9</v>
      </c>
      <c r="CZ50" s="9">
        <f ca="1">ROUND(COUNTIF(BX62:BX65,TRUE)/_times_of_one_operation,2)</f>
        <v>0</v>
      </c>
      <c r="DA50" s="9">
        <f ca="1">ROUND(COUNTIF(BY62:BY65,TRUE)/_times_of_one_operation,2)</f>
        <v>0</v>
      </c>
      <c r="DB50" s="9">
        <f ca="1">ROUND(COUNTIF(BZ62:BZ65,TRUE)/_times_of_one_operation,2)</f>
        <v>0</v>
      </c>
      <c r="DE50" s="9">
        <v>14</v>
      </c>
      <c r="DF50" s="11" t="s">
        <v>9</v>
      </c>
      <c r="DG50" s="9">
        <f ca="1">ROUND(COUNTIF(CE62:CE65,TRUE)/_times_of_one_operation,2)</f>
        <v>0</v>
      </c>
      <c r="DH50" s="9">
        <f ca="1">ROUND(COUNTIF(CF62:CF65,TRUE)/_times_of_one_operation,2)</f>
        <v>0</v>
      </c>
      <c r="DI50" s="9">
        <f ca="1">ROUND(COUNTIF(CG62:CG65,TRUE)/_times_of_one_operation,2)</f>
        <v>0</v>
      </c>
    </row>
    <row r="51" spans="38:113" ht="16.5" customHeight="1">
      <c r="AL51" s="12"/>
      <c r="AS51" s="12"/>
      <c r="AZ51" s="9">
        <v>42</v>
      </c>
      <c r="BA51" s="11">
        <f t="shared" si="26"/>
        <v>36892.427083333234</v>
      </c>
      <c r="BB51" s="9" cm="1">
        <f t="array" aca="1" ref="BB51" ca="1">INDIRECT(ADDRESS(2+$AZ51,1+MATCH($AE$9,INDIRECT($AE$16&amp;"!$B$2:$R$2"),0),1,1,$AE$16))</f>
        <v>0</v>
      </c>
      <c r="BC51" s="9" cm="1">
        <f t="array" aca="1" ref="BC51" ca="1">INDIRECT(ADDRESS(2+$AZ51,1+MATCH($AE$9,INDIRECT($AE$17&amp;"!$B$2:$R$2"),0),1,1,$AE$17))</f>
        <v>0</v>
      </c>
      <c r="BD51" s="9" cm="1">
        <f t="array" aca="1" ref="BD51" ca="1">INDIRECT(ADDRESS(2+$AZ51,1+MATCH($AE$9,INDIRECT($AE$18&amp;"!$B$2:$R$2"),0),1,1,$AE$18))</f>
        <v>0</v>
      </c>
      <c r="BH51" s="9">
        <v>42</v>
      </c>
      <c r="BI51" s="11">
        <f t="shared" si="27"/>
        <v>36892.427083333234</v>
      </c>
      <c r="BJ51" s="9" t="b">
        <f t="shared" ca="1" si="7"/>
        <v>1</v>
      </c>
      <c r="BK51" s="9" t="b">
        <f t="shared" ca="1" si="8"/>
        <v>1</v>
      </c>
      <c r="BL51" s="9" t="b">
        <f t="shared" ca="1" si="9"/>
        <v>1</v>
      </c>
      <c r="BO51" s="9">
        <v>42</v>
      </c>
      <c r="BP51" s="11">
        <f t="shared" si="28"/>
        <v>36892.427083333234</v>
      </c>
      <c r="BQ51" s="9" t="str">
        <f t="shared" ca="1" si="10"/>
        <v/>
      </c>
      <c r="BR51" s="9" t="str">
        <f t="shared" ca="1" si="11"/>
        <v/>
      </c>
      <c r="BS51" s="9" t="str">
        <f t="shared" ca="1" si="12"/>
        <v/>
      </c>
      <c r="BV51" s="9">
        <v>42</v>
      </c>
      <c r="BW51" s="11">
        <f t="shared" si="29"/>
        <v>36892.427083333234</v>
      </c>
      <c r="BX51" s="9" t="str">
        <f t="shared" ca="1" si="13"/>
        <v/>
      </c>
      <c r="BY51" s="9" t="str">
        <f t="shared" ca="1" si="14"/>
        <v/>
      </c>
      <c r="BZ51" s="9" t="str">
        <f t="shared" ca="1" si="15"/>
        <v/>
      </c>
      <c r="CC51" s="9">
        <v>42</v>
      </c>
      <c r="CD51" s="11">
        <f t="shared" si="30"/>
        <v>36892.427083333234</v>
      </c>
      <c r="CE51" s="9" t="str">
        <f t="shared" ca="1" si="16"/>
        <v/>
      </c>
      <c r="CF51" s="9" t="str">
        <f t="shared" ca="1" si="17"/>
        <v/>
      </c>
      <c r="CG51" s="9" t="str">
        <f t="shared" ca="1" si="18"/>
        <v/>
      </c>
      <c r="CJ51" s="9">
        <v>15</v>
      </c>
      <c r="CK51" s="11" t="s">
        <v>10</v>
      </c>
      <c r="CL51" s="9">
        <f ca="1">ROUND(COUNTIF(BJ66:BJ69,TRUE)/_times_of_one_operation,2)</f>
        <v>1.33</v>
      </c>
      <c r="CM51" s="9">
        <f ca="1">ROUND(COUNTIF(BK66:BK69,TRUE)/_times_of_one_operation,2)</f>
        <v>1.33</v>
      </c>
      <c r="CN51" s="9">
        <f ca="1">ROUND(COUNTIF(BL66:BL69,TRUE)/_times_of_one_operation,2)</f>
        <v>1.33</v>
      </c>
      <c r="CQ51" s="9">
        <v>15</v>
      </c>
      <c r="CR51" s="11" t="s">
        <v>10</v>
      </c>
      <c r="CS51" s="9">
        <f ca="1">ROUND(COUNTIF(BQ66:BQ69,TRUE)/_times_of_one_operation,2)</f>
        <v>0</v>
      </c>
      <c r="CT51" s="9">
        <f ca="1">ROUND(COUNTIF(BR66:BR69,TRUE)/_times_of_one_operation,2)</f>
        <v>0</v>
      </c>
      <c r="CU51" s="9">
        <f ca="1">ROUND(COUNTIF(BS66:BS69,TRUE)/_times_of_one_operation,2)</f>
        <v>0</v>
      </c>
      <c r="CX51" s="9">
        <v>15</v>
      </c>
      <c r="CY51" s="11" t="s">
        <v>10</v>
      </c>
      <c r="CZ51" s="9">
        <f ca="1">ROUND(COUNTIF(BX66:BX69,TRUE)/_times_of_one_operation,2)</f>
        <v>0</v>
      </c>
      <c r="DA51" s="9">
        <f ca="1">ROUND(COUNTIF(BY66:BY69,TRUE)/_times_of_one_operation,2)</f>
        <v>0</v>
      </c>
      <c r="DB51" s="9">
        <f ca="1">ROUND(COUNTIF(BZ66:BZ69,TRUE)/_times_of_one_operation,2)</f>
        <v>0</v>
      </c>
      <c r="DE51" s="9">
        <v>15</v>
      </c>
      <c r="DF51" s="11" t="s">
        <v>10</v>
      </c>
      <c r="DG51" s="9">
        <f ca="1">ROUND(COUNTIF(CE66:CE69,TRUE)/_times_of_one_operation,2)</f>
        <v>0</v>
      </c>
      <c r="DH51" s="9">
        <f ca="1">ROUND(COUNTIF(CF66:CF69,TRUE)/_times_of_one_operation,2)</f>
        <v>0</v>
      </c>
      <c r="DI51" s="9">
        <f ca="1">ROUND(COUNTIF(CG66:CG69,TRUE)/_times_of_one_operation,2)</f>
        <v>0</v>
      </c>
    </row>
    <row r="52" spans="38:113" ht="16.5" customHeight="1">
      <c r="AL52" s="12"/>
      <c r="AS52" s="12"/>
      <c r="AZ52" s="9">
        <v>43</v>
      </c>
      <c r="BA52" s="11">
        <f t="shared" si="26"/>
        <v>36892.437499999898</v>
      </c>
      <c r="BB52" s="9" cm="1">
        <f t="array" aca="1" ref="BB52" ca="1">INDIRECT(ADDRESS(2+$AZ52,1+MATCH($AE$9,INDIRECT($AE$16&amp;"!$B$2:$R$2"),0),1,1,$AE$16))</f>
        <v>0</v>
      </c>
      <c r="BC52" s="9" cm="1">
        <f t="array" aca="1" ref="BC52" ca="1">INDIRECT(ADDRESS(2+$AZ52,1+MATCH($AE$9,INDIRECT($AE$17&amp;"!$B$2:$R$2"),0),1,1,$AE$17))</f>
        <v>0</v>
      </c>
      <c r="BD52" s="9" cm="1">
        <f t="array" aca="1" ref="BD52" ca="1">INDIRECT(ADDRESS(2+$AZ52,1+MATCH($AE$9,INDIRECT($AE$18&amp;"!$B$2:$R$2"),0),1,1,$AE$18))</f>
        <v>0</v>
      </c>
      <c r="BH52" s="9">
        <v>43</v>
      </c>
      <c r="BI52" s="11">
        <f t="shared" si="27"/>
        <v>36892.437499999898</v>
      </c>
      <c r="BJ52" s="9" t="b">
        <f t="shared" ca="1" si="7"/>
        <v>1</v>
      </c>
      <c r="BK52" s="9" t="b">
        <f t="shared" ca="1" si="8"/>
        <v>1</v>
      </c>
      <c r="BL52" s="9" t="b">
        <f t="shared" ca="1" si="9"/>
        <v>1</v>
      </c>
      <c r="BO52" s="9">
        <v>43</v>
      </c>
      <c r="BP52" s="11">
        <f t="shared" si="28"/>
        <v>36892.437499999898</v>
      </c>
      <c r="BQ52" s="9" t="str">
        <f t="shared" ca="1" si="10"/>
        <v/>
      </c>
      <c r="BR52" s="9" t="str">
        <f t="shared" ca="1" si="11"/>
        <v/>
      </c>
      <c r="BS52" s="9" t="str">
        <f t="shared" ca="1" si="12"/>
        <v/>
      </c>
      <c r="BV52" s="9">
        <v>43</v>
      </c>
      <c r="BW52" s="11">
        <f t="shared" si="29"/>
        <v>36892.437499999898</v>
      </c>
      <c r="BX52" s="9" t="str">
        <f t="shared" ca="1" si="13"/>
        <v/>
      </c>
      <c r="BY52" s="9" t="str">
        <f t="shared" ca="1" si="14"/>
        <v/>
      </c>
      <c r="BZ52" s="9" t="str">
        <f t="shared" ca="1" si="15"/>
        <v/>
      </c>
      <c r="CC52" s="9">
        <v>43</v>
      </c>
      <c r="CD52" s="11">
        <f t="shared" si="30"/>
        <v>36892.437499999898</v>
      </c>
      <c r="CE52" s="9" t="str">
        <f t="shared" ca="1" si="16"/>
        <v/>
      </c>
      <c r="CF52" s="9" t="str">
        <f t="shared" ca="1" si="17"/>
        <v/>
      </c>
      <c r="CG52" s="9" t="str">
        <f t="shared" ca="1" si="18"/>
        <v/>
      </c>
      <c r="CJ52" s="9">
        <v>16</v>
      </c>
      <c r="CK52" s="11" t="s">
        <v>11</v>
      </c>
      <c r="CL52" s="9">
        <f ca="1">ROUND(COUNTIF(BJ70:BJ73,TRUE)/_times_of_one_operation,2)</f>
        <v>1.33</v>
      </c>
      <c r="CM52" s="9">
        <f ca="1">ROUND(COUNTIF(BK70:BK73,TRUE)/_times_of_one_operation,2)</f>
        <v>1.33</v>
      </c>
      <c r="CN52" s="9">
        <f ca="1">ROUND(COUNTIF(BL70:BL73,TRUE)/_times_of_one_operation,2)</f>
        <v>1.33</v>
      </c>
      <c r="CQ52" s="9">
        <v>16</v>
      </c>
      <c r="CR52" s="11" t="s">
        <v>11</v>
      </c>
      <c r="CS52" s="9">
        <f ca="1">ROUND(COUNTIF(BQ70:BQ73,TRUE)/_times_of_one_operation,2)</f>
        <v>0</v>
      </c>
      <c r="CT52" s="9">
        <f ca="1">ROUND(COUNTIF(BR70:BR73,TRUE)/_times_of_one_operation,2)</f>
        <v>0</v>
      </c>
      <c r="CU52" s="9">
        <f ca="1">ROUND(COUNTIF(BS70:BS73,TRUE)/_times_of_one_operation,2)</f>
        <v>0</v>
      </c>
      <c r="CX52" s="9">
        <v>16</v>
      </c>
      <c r="CY52" s="11" t="s">
        <v>11</v>
      </c>
      <c r="CZ52" s="9">
        <f ca="1">ROUND(COUNTIF(BX70:BX73,TRUE)/_times_of_one_operation,2)</f>
        <v>0</v>
      </c>
      <c r="DA52" s="9">
        <f ca="1">ROUND(COUNTIF(BY70:BY73,TRUE)/_times_of_one_operation,2)</f>
        <v>0</v>
      </c>
      <c r="DB52" s="9">
        <f ca="1">ROUND(COUNTIF(BZ70:BZ73,TRUE)/_times_of_one_operation,2)</f>
        <v>0</v>
      </c>
      <c r="DE52" s="9">
        <v>16</v>
      </c>
      <c r="DF52" s="11" t="s">
        <v>11</v>
      </c>
      <c r="DG52" s="9">
        <f ca="1">ROUND(COUNTIF(CE70:CE73,TRUE)/_times_of_one_operation,2)</f>
        <v>0</v>
      </c>
      <c r="DH52" s="9">
        <f ca="1">ROUND(COUNTIF(CF70:CF73,TRUE)/_times_of_one_operation,2)</f>
        <v>0</v>
      </c>
      <c r="DI52" s="9">
        <f ca="1">ROUND(COUNTIF(CG70:CG73,TRUE)/_times_of_one_operation,2)</f>
        <v>0</v>
      </c>
    </row>
    <row r="53" spans="38:113" ht="16.5" customHeight="1">
      <c r="AL53" s="12"/>
      <c r="AS53" s="12"/>
      <c r="AZ53" s="9">
        <v>44</v>
      </c>
      <c r="BA53" s="11">
        <f t="shared" si="26"/>
        <v>36892.447916666562</v>
      </c>
      <c r="BB53" s="9" cm="1">
        <f t="array" aca="1" ref="BB53" ca="1">INDIRECT(ADDRESS(2+$AZ53,1+MATCH($AE$9,INDIRECT($AE$16&amp;"!$B$2:$R$2"),0),1,1,$AE$16))</f>
        <v>0</v>
      </c>
      <c r="BC53" s="9" cm="1">
        <f t="array" aca="1" ref="BC53" ca="1">INDIRECT(ADDRESS(2+$AZ53,1+MATCH($AE$9,INDIRECT($AE$17&amp;"!$B$2:$R$2"),0),1,1,$AE$17))</f>
        <v>0</v>
      </c>
      <c r="BD53" s="9" cm="1">
        <f t="array" aca="1" ref="BD53" ca="1">INDIRECT(ADDRESS(2+$AZ53,1+MATCH($AE$9,INDIRECT($AE$18&amp;"!$B$2:$R$2"),0),1,1,$AE$18))</f>
        <v>0</v>
      </c>
      <c r="BH53" s="9">
        <v>44</v>
      </c>
      <c r="BI53" s="11">
        <f t="shared" si="27"/>
        <v>36892.447916666562</v>
      </c>
      <c r="BJ53" s="9" t="b">
        <f t="shared" ca="1" si="7"/>
        <v>1</v>
      </c>
      <c r="BK53" s="9" t="b">
        <f t="shared" ca="1" si="8"/>
        <v>1</v>
      </c>
      <c r="BL53" s="9" t="b">
        <f t="shared" ca="1" si="9"/>
        <v>1</v>
      </c>
      <c r="BO53" s="9">
        <v>44</v>
      </c>
      <c r="BP53" s="11">
        <f t="shared" si="28"/>
        <v>36892.447916666562</v>
      </c>
      <c r="BQ53" s="9" t="str">
        <f t="shared" ca="1" si="10"/>
        <v/>
      </c>
      <c r="BR53" s="9" t="str">
        <f t="shared" ca="1" si="11"/>
        <v/>
      </c>
      <c r="BS53" s="9" t="str">
        <f t="shared" ca="1" si="12"/>
        <v/>
      </c>
      <c r="BV53" s="9">
        <v>44</v>
      </c>
      <c r="BW53" s="11">
        <f t="shared" si="29"/>
        <v>36892.447916666562</v>
      </c>
      <c r="BX53" s="9" t="str">
        <f t="shared" ca="1" si="13"/>
        <v/>
      </c>
      <c r="BY53" s="9" t="str">
        <f t="shared" ca="1" si="14"/>
        <v/>
      </c>
      <c r="BZ53" s="9" t="str">
        <f t="shared" ca="1" si="15"/>
        <v/>
      </c>
      <c r="CC53" s="9">
        <v>44</v>
      </c>
      <c r="CD53" s="11">
        <f t="shared" si="30"/>
        <v>36892.447916666562</v>
      </c>
      <c r="CE53" s="9" t="str">
        <f t="shared" ca="1" si="16"/>
        <v/>
      </c>
      <c r="CF53" s="9" t="str">
        <f t="shared" ca="1" si="17"/>
        <v/>
      </c>
      <c r="CG53" s="9" t="str">
        <f t="shared" ca="1" si="18"/>
        <v/>
      </c>
      <c r="CJ53" s="9">
        <v>17</v>
      </c>
      <c r="CK53" s="11" t="s">
        <v>12</v>
      </c>
      <c r="CL53" s="9">
        <f ca="1">ROUND(COUNTIF(BJ74:BJ77,TRUE)/_times_of_one_operation,2)</f>
        <v>1.33</v>
      </c>
      <c r="CM53" s="9">
        <f ca="1">ROUND(COUNTIF(BK74:BK77,TRUE)/_times_of_one_operation,2)</f>
        <v>1.33</v>
      </c>
      <c r="CN53" s="9">
        <f ca="1">ROUND(COUNTIF(BL74:BL77,TRUE)/_times_of_one_operation,2)</f>
        <v>1.33</v>
      </c>
      <c r="CQ53" s="9">
        <v>17</v>
      </c>
      <c r="CR53" s="11" t="s">
        <v>12</v>
      </c>
      <c r="CS53" s="9">
        <f ca="1">ROUND(COUNTIF(BQ74:BQ77,TRUE)/_times_of_one_operation,2)</f>
        <v>0</v>
      </c>
      <c r="CT53" s="9">
        <f ca="1">ROUND(COUNTIF(BR74:BR77,TRUE)/_times_of_one_operation,2)</f>
        <v>0</v>
      </c>
      <c r="CU53" s="9">
        <f ca="1">ROUND(COUNTIF(BS74:BS77,TRUE)/_times_of_one_operation,2)</f>
        <v>0</v>
      </c>
      <c r="CX53" s="9">
        <v>17</v>
      </c>
      <c r="CY53" s="11" t="s">
        <v>12</v>
      </c>
      <c r="CZ53" s="9">
        <f ca="1">ROUND(COUNTIF(BX74:BX77,TRUE)/_times_of_one_operation,2)</f>
        <v>0</v>
      </c>
      <c r="DA53" s="9">
        <f ca="1">ROUND(COUNTIF(BY74:BY77,TRUE)/_times_of_one_operation,2)</f>
        <v>0</v>
      </c>
      <c r="DB53" s="9">
        <f ca="1">ROUND(COUNTIF(BZ74:BZ77,TRUE)/_times_of_one_operation,2)</f>
        <v>0</v>
      </c>
      <c r="DE53" s="9">
        <v>17</v>
      </c>
      <c r="DF53" s="11" t="s">
        <v>12</v>
      </c>
      <c r="DG53" s="9">
        <f ca="1">ROUND(COUNTIF(CE74:CE77,TRUE)/_times_of_one_operation,2)</f>
        <v>0</v>
      </c>
      <c r="DH53" s="9">
        <f ca="1">ROUND(COUNTIF(CF74:CF77,TRUE)/_times_of_one_operation,2)</f>
        <v>0</v>
      </c>
      <c r="DI53" s="9">
        <f ca="1">ROUND(COUNTIF(CG74:CG77,TRUE)/_times_of_one_operation,2)</f>
        <v>0</v>
      </c>
    </row>
    <row r="54" spans="38:113" ht="16.5" customHeight="1">
      <c r="AL54" s="12"/>
      <c r="AS54" s="12"/>
      <c r="AZ54" s="9">
        <v>45</v>
      </c>
      <c r="BA54" s="11">
        <f t="shared" si="26"/>
        <v>36892.458333333227</v>
      </c>
      <c r="BB54" s="9" cm="1">
        <f t="array" aca="1" ref="BB54" ca="1">INDIRECT(ADDRESS(2+$AZ54,1+MATCH($AE$9,INDIRECT($AE$16&amp;"!$B$2:$R$2"),0),1,1,$AE$16))</f>
        <v>0</v>
      </c>
      <c r="BC54" s="9" cm="1">
        <f t="array" aca="1" ref="BC54" ca="1">INDIRECT(ADDRESS(2+$AZ54,1+MATCH($AE$9,INDIRECT($AE$17&amp;"!$B$2:$R$2"),0),1,1,$AE$17))</f>
        <v>0</v>
      </c>
      <c r="BD54" s="9" cm="1">
        <f t="array" aca="1" ref="BD54" ca="1">INDIRECT(ADDRESS(2+$AZ54,1+MATCH($AE$9,INDIRECT($AE$18&amp;"!$B$2:$R$2"),0),1,1,$AE$18))</f>
        <v>0</v>
      </c>
      <c r="BH54" s="9">
        <v>45</v>
      </c>
      <c r="BI54" s="11">
        <f t="shared" si="27"/>
        <v>36892.458333333227</v>
      </c>
      <c r="BJ54" s="9" t="b">
        <f t="shared" ca="1" si="7"/>
        <v>1</v>
      </c>
      <c r="BK54" s="9" t="b">
        <f t="shared" ca="1" si="8"/>
        <v>1</v>
      </c>
      <c r="BL54" s="9" t="b">
        <f t="shared" ca="1" si="9"/>
        <v>1</v>
      </c>
      <c r="BO54" s="9">
        <v>45</v>
      </c>
      <c r="BP54" s="11">
        <f t="shared" si="28"/>
        <v>36892.458333333227</v>
      </c>
      <c r="BQ54" s="9" t="str">
        <f t="shared" ca="1" si="10"/>
        <v/>
      </c>
      <c r="BR54" s="9" t="str">
        <f t="shared" ca="1" si="11"/>
        <v/>
      </c>
      <c r="BS54" s="9" t="str">
        <f t="shared" ca="1" si="12"/>
        <v/>
      </c>
      <c r="BV54" s="9">
        <v>45</v>
      </c>
      <c r="BW54" s="11">
        <f t="shared" si="29"/>
        <v>36892.458333333227</v>
      </c>
      <c r="BX54" s="9" t="str">
        <f t="shared" ca="1" si="13"/>
        <v/>
      </c>
      <c r="BY54" s="9" t="str">
        <f t="shared" ca="1" si="14"/>
        <v/>
      </c>
      <c r="BZ54" s="9" t="str">
        <f t="shared" ca="1" si="15"/>
        <v/>
      </c>
      <c r="CC54" s="9">
        <v>45</v>
      </c>
      <c r="CD54" s="11">
        <f t="shared" si="30"/>
        <v>36892.458333333227</v>
      </c>
      <c r="CE54" s="9" t="str">
        <f t="shared" ca="1" si="16"/>
        <v/>
      </c>
      <c r="CF54" s="9" t="str">
        <f t="shared" ca="1" si="17"/>
        <v/>
      </c>
      <c r="CG54" s="9" t="str">
        <f t="shared" ca="1" si="18"/>
        <v/>
      </c>
      <c r="CJ54" s="9">
        <v>18</v>
      </c>
      <c r="CK54" s="11" t="s">
        <v>13</v>
      </c>
      <c r="CL54" s="9">
        <f ca="1">ROUND(COUNTIF(BJ78:BJ81,TRUE)/_times_of_one_operation,2)</f>
        <v>1.33</v>
      </c>
      <c r="CM54" s="9">
        <f ca="1">ROUND(COUNTIF(BK78:BK81,TRUE)/_times_of_one_operation,2)</f>
        <v>1.33</v>
      </c>
      <c r="CN54" s="9">
        <f ca="1">ROUND(COUNTIF(BL78:BL81,TRUE)/_times_of_one_operation,2)</f>
        <v>1.33</v>
      </c>
      <c r="CQ54" s="9">
        <v>18</v>
      </c>
      <c r="CR54" s="11" t="s">
        <v>13</v>
      </c>
      <c r="CS54" s="9">
        <f ca="1">ROUND(COUNTIF(BQ78:BQ81,TRUE)/_times_of_one_operation,2)</f>
        <v>0</v>
      </c>
      <c r="CT54" s="9">
        <f ca="1">ROUND(COUNTIF(BR78:BR81,TRUE)/_times_of_one_operation,2)</f>
        <v>0</v>
      </c>
      <c r="CU54" s="9">
        <f ca="1">ROUND(COUNTIF(BS78:BS81,TRUE)/_times_of_one_operation,2)</f>
        <v>0</v>
      </c>
      <c r="CX54" s="9">
        <v>18</v>
      </c>
      <c r="CY54" s="11" t="s">
        <v>13</v>
      </c>
      <c r="CZ54" s="9">
        <f ca="1">ROUND(COUNTIF(BX78:BX81,TRUE)/_times_of_one_operation,2)</f>
        <v>0</v>
      </c>
      <c r="DA54" s="9">
        <f ca="1">ROUND(COUNTIF(BY78:BY81,TRUE)/_times_of_one_operation,2)</f>
        <v>0</v>
      </c>
      <c r="DB54" s="9">
        <f ca="1">ROUND(COUNTIF(BZ78:BZ81,TRUE)/_times_of_one_operation,2)</f>
        <v>0</v>
      </c>
      <c r="DE54" s="9">
        <v>18</v>
      </c>
      <c r="DF54" s="11" t="s">
        <v>13</v>
      </c>
      <c r="DG54" s="9">
        <f ca="1">ROUND(COUNTIF(CE78:CE81,TRUE)/_times_of_one_operation,2)</f>
        <v>0</v>
      </c>
      <c r="DH54" s="9">
        <f ca="1">ROUND(COUNTIF(CF78:CF81,TRUE)/_times_of_one_operation,2)</f>
        <v>0</v>
      </c>
      <c r="DI54" s="9">
        <f ca="1">ROUND(COUNTIF(CG78:CG81,TRUE)/_times_of_one_operation,2)</f>
        <v>0</v>
      </c>
    </row>
    <row r="55" spans="38:113" ht="16.5" customHeight="1">
      <c r="AL55" s="12"/>
      <c r="AS55" s="12"/>
      <c r="AZ55" s="9">
        <v>46</v>
      </c>
      <c r="BA55" s="11">
        <f t="shared" si="26"/>
        <v>36892.468749999891</v>
      </c>
      <c r="BB55" s="9" cm="1">
        <f t="array" aca="1" ref="BB55" ca="1">INDIRECT(ADDRESS(2+$AZ55,1+MATCH($AE$9,INDIRECT($AE$16&amp;"!$B$2:$R$2"),0),1,1,$AE$16))</f>
        <v>0</v>
      </c>
      <c r="BC55" s="9" cm="1">
        <f t="array" aca="1" ref="BC55" ca="1">INDIRECT(ADDRESS(2+$AZ55,1+MATCH($AE$9,INDIRECT($AE$17&amp;"!$B$2:$R$2"),0),1,1,$AE$17))</f>
        <v>0</v>
      </c>
      <c r="BD55" s="9" cm="1">
        <f t="array" aca="1" ref="BD55" ca="1">INDIRECT(ADDRESS(2+$AZ55,1+MATCH($AE$9,INDIRECT($AE$18&amp;"!$B$2:$R$2"),0),1,1,$AE$18))</f>
        <v>0</v>
      </c>
      <c r="BH55" s="9">
        <v>46</v>
      </c>
      <c r="BI55" s="11">
        <f t="shared" si="27"/>
        <v>36892.468749999891</v>
      </c>
      <c r="BJ55" s="9" t="b">
        <f t="shared" ca="1" si="7"/>
        <v>1</v>
      </c>
      <c r="BK55" s="9" t="b">
        <f t="shared" ca="1" si="8"/>
        <v>1</v>
      </c>
      <c r="BL55" s="9" t="b">
        <f t="shared" ca="1" si="9"/>
        <v>1</v>
      </c>
      <c r="BO55" s="9">
        <v>46</v>
      </c>
      <c r="BP55" s="11">
        <f t="shared" si="28"/>
        <v>36892.468749999891</v>
      </c>
      <c r="BQ55" s="9" t="str">
        <f t="shared" ca="1" si="10"/>
        <v/>
      </c>
      <c r="BR55" s="9" t="str">
        <f t="shared" ca="1" si="11"/>
        <v/>
      </c>
      <c r="BS55" s="9" t="str">
        <f t="shared" ca="1" si="12"/>
        <v/>
      </c>
      <c r="BV55" s="9">
        <v>46</v>
      </c>
      <c r="BW55" s="11">
        <f t="shared" si="29"/>
        <v>36892.468749999891</v>
      </c>
      <c r="BX55" s="9" t="str">
        <f t="shared" ca="1" si="13"/>
        <v/>
      </c>
      <c r="BY55" s="9" t="str">
        <f t="shared" ca="1" si="14"/>
        <v/>
      </c>
      <c r="BZ55" s="9" t="str">
        <f t="shared" ca="1" si="15"/>
        <v/>
      </c>
      <c r="CC55" s="9">
        <v>46</v>
      </c>
      <c r="CD55" s="11">
        <f t="shared" si="30"/>
        <v>36892.468749999891</v>
      </c>
      <c r="CE55" s="9" t="str">
        <f t="shared" ca="1" si="16"/>
        <v/>
      </c>
      <c r="CF55" s="9" t="str">
        <f t="shared" ca="1" si="17"/>
        <v/>
      </c>
      <c r="CG55" s="9" t="str">
        <f t="shared" ca="1" si="18"/>
        <v/>
      </c>
      <c r="CJ55" s="9">
        <v>19</v>
      </c>
      <c r="CK55" s="11" t="s">
        <v>14</v>
      </c>
      <c r="CL55" s="9">
        <f ca="1">ROUND(COUNTIF(BJ82:BJ85,TRUE)/_times_of_one_operation,2)</f>
        <v>1.33</v>
      </c>
      <c r="CM55" s="9">
        <f ca="1">ROUND(COUNTIF(BK82:BK85,TRUE)/_times_of_one_operation,2)</f>
        <v>1.33</v>
      </c>
      <c r="CN55" s="9">
        <f ca="1">ROUND(COUNTIF(BL82:BL85,TRUE)/_times_of_one_operation,2)</f>
        <v>1.33</v>
      </c>
      <c r="CQ55" s="9">
        <v>19</v>
      </c>
      <c r="CR55" s="11" t="s">
        <v>14</v>
      </c>
      <c r="CS55" s="9">
        <f ca="1">ROUND(COUNTIF(BQ82:BQ85,TRUE)/_times_of_one_operation,2)</f>
        <v>0</v>
      </c>
      <c r="CT55" s="9">
        <f ca="1">ROUND(COUNTIF(BR82:BR85,TRUE)/_times_of_one_operation,2)</f>
        <v>0</v>
      </c>
      <c r="CU55" s="9">
        <f ca="1">ROUND(COUNTIF(BS82:BS85,TRUE)/_times_of_one_operation,2)</f>
        <v>0</v>
      </c>
      <c r="CX55" s="9">
        <v>19</v>
      </c>
      <c r="CY55" s="11" t="s">
        <v>14</v>
      </c>
      <c r="CZ55" s="9">
        <f ca="1">ROUND(COUNTIF(BX82:BX85,TRUE)/_times_of_one_operation,2)</f>
        <v>0</v>
      </c>
      <c r="DA55" s="9">
        <f ca="1">ROUND(COUNTIF(BY82:BY85,TRUE)/_times_of_one_operation,2)</f>
        <v>0</v>
      </c>
      <c r="DB55" s="9">
        <f ca="1">ROUND(COUNTIF(BZ82:BZ85,TRUE)/_times_of_one_operation,2)</f>
        <v>0</v>
      </c>
      <c r="DE55" s="9">
        <v>19</v>
      </c>
      <c r="DF55" s="11" t="s">
        <v>14</v>
      </c>
      <c r="DG55" s="9">
        <f ca="1">ROUND(COUNTIF(CE82:CE85,TRUE)/_times_of_one_operation,2)</f>
        <v>0</v>
      </c>
      <c r="DH55" s="9">
        <f ca="1">ROUND(COUNTIF(CF82:CF85,TRUE)/_times_of_one_operation,2)</f>
        <v>0</v>
      </c>
      <c r="DI55" s="9">
        <f ca="1">ROUND(COUNTIF(CG82:CG85,TRUE)/_times_of_one_operation,2)</f>
        <v>0</v>
      </c>
    </row>
    <row r="56" spans="38:113" ht="16.5" customHeight="1">
      <c r="AL56" s="12"/>
      <c r="AS56" s="12"/>
      <c r="AZ56" s="9">
        <v>47</v>
      </c>
      <c r="BA56" s="11">
        <f t="shared" si="26"/>
        <v>36892.479166666555</v>
      </c>
      <c r="BB56" s="9" cm="1">
        <f t="array" aca="1" ref="BB56" ca="1">INDIRECT(ADDRESS(2+$AZ56,1+MATCH($AE$9,INDIRECT($AE$16&amp;"!$B$2:$R$2"),0),1,1,$AE$16))</f>
        <v>0</v>
      </c>
      <c r="BC56" s="9" cm="1">
        <f t="array" aca="1" ref="BC56" ca="1">INDIRECT(ADDRESS(2+$AZ56,1+MATCH($AE$9,INDIRECT($AE$17&amp;"!$B$2:$R$2"),0),1,1,$AE$17))</f>
        <v>0</v>
      </c>
      <c r="BD56" s="9" cm="1">
        <f t="array" aca="1" ref="BD56" ca="1">INDIRECT(ADDRESS(2+$AZ56,1+MATCH($AE$9,INDIRECT($AE$18&amp;"!$B$2:$R$2"),0),1,1,$AE$18))</f>
        <v>0</v>
      </c>
      <c r="BH56" s="9">
        <v>47</v>
      </c>
      <c r="BI56" s="11">
        <f t="shared" si="27"/>
        <v>36892.479166666555</v>
      </c>
      <c r="BJ56" s="9" t="b">
        <f t="shared" ca="1" si="7"/>
        <v>1</v>
      </c>
      <c r="BK56" s="9" t="b">
        <f t="shared" ca="1" si="8"/>
        <v>1</v>
      </c>
      <c r="BL56" s="9" t="b">
        <f t="shared" ca="1" si="9"/>
        <v>1</v>
      </c>
      <c r="BO56" s="9">
        <v>47</v>
      </c>
      <c r="BP56" s="11">
        <f t="shared" si="28"/>
        <v>36892.479166666555</v>
      </c>
      <c r="BQ56" s="9" t="str">
        <f t="shared" ca="1" si="10"/>
        <v/>
      </c>
      <c r="BR56" s="9" t="str">
        <f t="shared" ca="1" si="11"/>
        <v/>
      </c>
      <c r="BS56" s="9" t="str">
        <f t="shared" ca="1" si="12"/>
        <v/>
      </c>
      <c r="BV56" s="9">
        <v>47</v>
      </c>
      <c r="BW56" s="11">
        <f t="shared" si="29"/>
        <v>36892.479166666555</v>
      </c>
      <c r="BX56" s="9" t="str">
        <f t="shared" ca="1" si="13"/>
        <v/>
      </c>
      <c r="BY56" s="9" t="str">
        <f t="shared" ca="1" si="14"/>
        <v/>
      </c>
      <c r="BZ56" s="9" t="str">
        <f t="shared" ca="1" si="15"/>
        <v/>
      </c>
      <c r="CC56" s="9">
        <v>47</v>
      </c>
      <c r="CD56" s="11">
        <f t="shared" si="30"/>
        <v>36892.479166666555</v>
      </c>
      <c r="CE56" s="9" t="str">
        <f t="shared" ca="1" si="16"/>
        <v/>
      </c>
      <c r="CF56" s="9" t="str">
        <f t="shared" ca="1" si="17"/>
        <v/>
      </c>
      <c r="CG56" s="9" t="str">
        <f t="shared" ca="1" si="18"/>
        <v/>
      </c>
      <c r="CJ56" s="9">
        <v>20</v>
      </c>
      <c r="CK56" s="11" t="s">
        <v>15</v>
      </c>
      <c r="CL56" s="9">
        <f ca="1">ROUND(COUNTIF(BJ86:BJ89,TRUE)/_times_of_one_operation,2)</f>
        <v>1.33</v>
      </c>
      <c r="CM56" s="9">
        <f ca="1">ROUND(COUNTIF(BK86:BK89,TRUE)/_times_of_one_operation,2)</f>
        <v>1.33</v>
      </c>
      <c r="CN56" s="9">
        <f ca="1">ROUND(COUNTIF(BL86:BL89,TRUE)/_times_of_one_operation,2)</f>
        <v>1.33</v>
      </c>
      <c r="CQ56" s="9">
        <v>20</v>
      </c>
      <c r="CR56" s="11" t="s">
        <v>15</v>
      </c>
      <c r="CS56" s="9">
        <f ca="1">ROUND(COUNTIF(BQ86:BQ89,TRUE)/_times_of_one_operation,2)</f>
        <v>0</v>
      </c>
      <c r="CT56" s="9">
        <f ca="1">ROUND(COUNTIF(BR86:BR89,TRUE)/_times_of_one_operation,2)</f>
        <v>0</v>
      </c>
      <c r="CU56" s="9">
        <f ca="1">ROUND(COUNTIF(BS86:BS89,TRUE)/_times_of_one_operation,2)</f>
        <v>0</v>
      </c>
      <c r="CX56" s="9">
        <v>20</v>
      </c>
      <c r="CY56" s="11" t="s">
        <v>15</v>
      </c>
      <c r="CZ56" s="9">
        <f ca="1">ROUND(COUNTIF(BX86:BX89,TRUE)/_times_of_one_operation,2)</f>
        <v>0</v>
      </c>
      <c r="DA56" s="9">
        <f ca="1">ROUND(COUNTIF(BY86:BY89,TRUE)/_times_of_one_operation,2)</f>
        <v>0</v>
      </c>
      <c r="DB56" s="9">
        <f ca="1">ROUND(COUNTIF(BZ86:BZ89,TRUE)/_times_of_one_operation,2)</f>
        <v>0</v>
      </c>
      <c r="DE56" s="9">
        <v>20</v>
      </c>
      <c r="DF56" s="11" t="s">
        <v>15</v>
      </c>
      <c r="DG56" s="9">
        <f ca="1">ROUND(COUNTIF(CE86:CE89,TRUE)/_times_of_one_operation,2)</f>
        <v>0</v>
      </c>
      <c r="DH56" s="9">
        <f ca="1">ROUND(COUNTIF(CF86:CF89,TRUE)/_times_of_one_operation,2)</f>
        <v>0</v>
      </c>
      <c r="DI56" s="9">
        <f ca="1">ROUND(COUNTIF(CG86:CG89,TRUE)/_times_of_one_operation,2)</f>
        <v>0</v>
      </c>
    </row>
    <row r="57" spans="38:113" ht="16.5" customHeight="1">
      <c r="AL57" s="12"/>
      <c r="AS57" s="12"/>
      <c r="AZ57" s="9">
        <v>48</v>
      </c>
      <c r="BA57" s="11">
        <f t="shared" si="26"/>
        <v>36892.489583333219</v>
      </c>
      <c r="BB57" s="9" cm="1">
        <f t="array" aca="1" ref="BB57" ca="1">INDIRECT(ADDRESS(2+$AZ57,1+MATCH($AE$9,INDIRECT($AE$16&amp;"!$B$2:$R$2"),0),1,1,$AE$16))</f>
        <v>0</v>
      </c>
      <c r="BC57" s="9" cm="1">
        <f t="array" aca="1" ref="BC57" ca="1">INDIRECT(ADDRESS(2+$AZ57,1+MATCH($AE$9,INDIRECT($AE$17&amp;"!$B$2:$R$2"),0),1,1,$AE$17))</f>
        <v>0</v>
      </c>
      <c r="BD57" s="9" cm="1">
        <f t="array" aca="1" ref="BD57" ca="1">INDIRECT(ADDRESS(2+$AZ57,1+MATCH($AE$9,INDIRECT($AE$18&amp;"!$B$2:$R$2"),0),1,1,$AE$18))</f>
        <v>0</v>
      </c>
      <c r="BH57" s="9">
        <v>48</v>
      </c>
      <c r="BI57" s="11">
        <f t="shared" si="27"/>
        <v>36892.489583333219</v>
      </c>
      <c r="BJ57" s="9" t="b">
        <f t="shared" ca="1" si="7"/>
        <v>1</v>
      </c>
      <c r="BK57" s="9" t="b">
        <f t="shared" ca="1" si="8"/>
        <v>1</v>
      </c>
      <c r="BL57" s="9" t="b">
        <f t="shared" ca="1" si="9"/>
        <v>1</v>
      </c>
      <c r="BO57" s="9">
        <v>48</v>
      </c>
      <c r="BP57" s="11">
        <f t="shared" si="28"/>
        <v>36892.489583333219</v>
      </c>
      <c r="BQ57" s="9" t="str">
        <f t="shared" ca="1" si="10"/>
        <v/>
      </c>
      <c r="BR57" s="9" t="str">
        <f t="shared" ca="1" si="11"/>
        <v/>
      </c>
      <c r="BS57" s="9" t="str">
        <f t="shared" ca="1" si="12"/>
        <v/>
      </c>
      <c r="BV57" s="9">
        <v>48</v>
      </c>
      <c r="BW57" s="11">
        <f t="shared" si="29"/>
        <v>36892.489583333219</v>
      </c>
      <c r="BX57" s="9" t="str">
        <f t="shared" ca="1" si="13"/>
        <v/>
      </c>
      <c r="BY57" s="9" t="str">
        <f t="shared" ca="1" si="14"/>
        <v/>
      </c>
      <c r="BZ57" s="9" t="str">
        <f t="shared" ca="1" si="15"/>
        <v/>
      </c>
      <c r="CC57" s="9">
        <v>48</v>
      </c>
      <c r="CD57" s="11">
        <f t="shared" si="30"/>
        <v>36892.489583333219</v>
      </c>
      <c r="CE57" s="9" t="str">
        <f t="shared" ca="1" si="16"/>
        <v/>
      </c>
      <c r="CF57" s="9" t="str">
        <f t="shared" ca="1" si="17"/>
        <v/>
      </c>
      <c r="CG57" s="9" t="str">
        <f t="shared" ca="1" si="18"/>
        <v/>
      </c>
      <c r="CJ57" s="9">
        <v>21</v>
      </c>
      <c r="CK57" s="11" t="s">
        <v>16</v>
      </c>
      <c r="CL57" s="9">
        <f ca="1">ROUND(COUNTIF(BJ90:BJ93,TRUE)/_times_of_one_operation,2)</f>
        <v>1.33</v>
      </c>
      <c r="CM57" s="9">
        <f ca="1">ROUND(COUNTIF(BK90:BK93,TRUE)/_times_of_one_operation,2)</f>
        <v>1.33</v>
      </c>
      <c r="CN57" s="9">
        <f ca="1">ROUND(COUNTIF(BL90:BL93,TRUE)/_times_of_one_operation,2)</f>
        <v>1.33</v>
      </c>
      <c r="CQ57" s="9">
        <v>21</v>
      </c>
      <c r="CR57" s="11" t="s">
        <v>16</v>
      </c>
      <c r="CS57" s="9">
        <f ca="1">ROUND(COUNTIF(BQ90:BQ93,TRUE)/_times_of_one_operation,2)</f>
        <v>0</v>
      </c>
      <c r="CT57" s="9">
        <f ca="1">ROUND(COUNTIF(BR90:BR93,TRUE)/_times_of_one_operation,2)</f>
        <v>0</v>
      </c>
      <c r="CU57" s="9">
        <f ca="1">ROUND(COUNTIF(BS90:BS93,TRUE)/_times_of_one_operation,2)</f>
        <v>0</v>
      </c>
      <c r="CX57" s="9">
        <v>21</v>
      </c>
      <c r="CY57" s="11" t="s">
        <v>16</v>
      </c>
      <c r="CZ57" s="9">
        <f ca="1">ROUND(COUNTIF(BX90:BX93,TRUE)/_times_of_one_operation,2)</f>
        <v>0</v>
      </c>
      <c r="DA57" s="9">
        <f ca="1">ROUND(COUNTIF(BY90:BY93,TRUE)/_times_of_one_operation,2)</f>
        <v>0</v>
      </c>
      <c r="DB57" s="9">
        <f ca="1">ROUND(COUNTIF(BZ90:BZ93,TRUE)/_times_of_one_operation,2)</f>
        <v>0</v>
      </c>
      <c r="DE57" s="9">
        <v>21</v>
      </c>
      <c r="DF57" s="11" t="s">
        <v>16</v>
      </c>
      <c r="DG57" s="9">
        <f ca="1">ROUND(COUNTIF(CE90:CE93,TRUE)/_times_of_one_operation,2)</f>
        <v>0</v>
      </c>
      <c r="DH57" s="9">
        <f ca="1">ROUND(COUNTIF(CF90:CF93,TRUE)/_times_of_one_operation,2)</f>
        <v>0</v>
      </c>
      <c r="DI57" s="9">
        <f ca="1">ROUND(COUNTIF(CG90:CG93,TRUE)/_times_of_one_operation,2)</f>
        <v>0</v>
      </c>
    </row>
    <row r="58" spans="38:113" ht="16.5" customHeight="1">
      <c r="AL58" s="12"/>
      <c r="AS58" s="12"/>
      <c r="AZ58" s="9">
        <v>49</v>
      </c>
      <c r="BA58" s="11">
        <f t="shared" si="26"/>
        <v>36892.499999999884</v>
      </c>
      <c r="BB58" s="9" cm="1">
        <f t="array" aca="1" ref="BB58" ca="1">INDIRECT(ADDRESS(2+$AZ58,1+MATCH($AE$9,INDIRECT($AE$16&amp;"!$B$2:$R$2"),0),1,1,$AE$16))</f>
        <v>0</v>
      </c>
      <c r="BC58" s="9" cm="1">
        <f t="array" aca="1" ref="BC58" ca="1">INDIRECT(ADDRESS(2+$AZ58,1+MATCH($AE$9,INDIRECT($AE$17&amp;"!$B$2:$R$2"),0),1,1,$AE$17))</f>
        <v>0</v>
      </c>
      <c r="BD58" s="9" cm="1">
        <f t="array" aca="1" ref="BD58" ca="1">INDIRECT(ADDRESS(2+$AZ58,1+MATCH($AE$9,INDIRECT($AE$18&amp;"!$B$2:$R$2"),0),1,1,$AE$18))</f>
        <v>0</v>
      </c>
      <c r="BH58" s="9">
        <v>49</v>
      </c>
      <c r="BI58" s="11">
        <f t="shared" si="27"/>
        <v>36892.499999999884</v>
      </c>
      <c r="BJ58" s="9" t="b">
        <f t="shared" ca="1" si="7"/>
        <v>1</v>
      </c>
      <c r="BK58" s="9" t="b">
        <f t="shared" ca="1" si="8"/>
        <v>1</v>
      </c>
      <c r="BL58" s="9" t="b">
        <f t="shared" ca="1" si="9"/>
        <v>1</v>
      </c>
      <c r="BO58" s="9">
        <v>49</v>
      </c>
      <c r="BP58" s="11">
        <f t="shared" si="28"/>
        <v>36892.499999999884</v>
      </c>
      <c r="BQ58" s="9" t="str">
        <f t="shared" ca="1" si="10"/>
        <v/>
      </c>
      <c r="BR58" s="9" t="str">
        <f t="shared" ca="1" si="11"/>
        <v/>
      </c>
      <c r="BS58" s="9" t="str">
        <f t="shared" ca="1" si="12"/>
        <v/>
      </c>
      <c r="BV58" s="9">
        <v>49</v>
      </c>
      <c r="BW58" s="11">
        <f t="shared" si="29"/>
        <v>36892.499999999884</v>
      </c>
      <c r="BX58" s="9" t="str">
        <f t="shared" ca="1" si="13"/>
        <v/>
      </c>
      <c r="BY58" s="9" t="str">
        <f t="shared" ca="1" si="14"/>
        <v/>
      </c>
      <c r="BZ58" s="9" t="str">
        <f t="shared" ca="1" si="15"/>
        <v/>
      </c>
      <c r="CC58" s="9">
        <v>49</v>
      </c>
      <c r="CD58" s="11">
        <f t="shared" si="30"/>
        <v>36892.499999999884</v>
      </c>
      <c r="CE58" s="9" t="str">
        <f t="shared" ca="1" si="16"/>
        <v/>
      </c>
      <c r="CF58" s="9" t="str">
        <f t="shared" ca="1" si="17"/>
        <v/>
      </c>
      <c r="CG58" s="9" t="str">
        <f t="shared" ca="1" si="18"/>
        <v/>
      </c>
      <c r="CJ58" s="9">
        <v>22</v>
      </c>
      <c r="CK58" s="11" t="s">
        <v>17</v>
      </c>
      <c r="CL58" s="9">
        <f ca="1">ROUND(COUNTIF(BJ94:BJ97,TRUE)/_times_of_one_operation,2)</f>
        <v>1.33</v>
      </c>
      <c r="CM58" s="9">
        <f ca="1">ROUND(COUNTIF(BK94:BK97,TRUE)/_times_of_one_operation,2)</f>
        <v>1.33</v>
      </c>
      <c r="CN58" s="9">
        <f ca="1">ROUND(COUNTIF(BL94:BL97,TRUE)/_times_of_one_operation,2)</f>
        <v>1.33</v>
      </c>
      <c r="CQ58" s="9">
        <v>22</v>
      </c>
      <c r="CR58" s="11" t="s">
        <v>17</v>
      </c>
      <c r="CS58" s="9">
        <f ca="1">ROUND(COUNTIF(BQ94:BQ97,TRUE)/_times_of_one_operation,2)</f>
        <v>0</v>
      </c>
      <c r="CT58" s="9">
        <f ca="1">ROUND(COUNTIF(BR94:BR97,TRUE)/_times_of_one_operation,2)</f>
        <v>0</v>
      </c>
      <c r="CU58" s="9">
        <f ca="1">ROUND(COUNTIF(BS94:BS97,TRUE)/_times_of_one_operation,2)</f>
        <v>0</v>
      </c>
      <c r="CX58" s="9">
        <v>22</v>
      </c>
      <c r="CY58" s="11" t="s">
        <v>17</v>
      </c>
      <c r="CZ58" s="9">
        <f ca="1">ROUND(COUNTIF(BX94:BX97,TRUE)/_times_of_one_operation,2)</f>
        <v>0</v>
      </c>
      <c r="DA58" s="9">
        <f ca="1">ROUND(COUNTIF(BY94:BY97,TRUE)/_times_of_one_operation,2)</f>
        <v>0</v>
      </c>
      <c r="DB58" s="9">
        <f ca="1">ROUND(COUNTIF(BZ94:BZ97,TRUE)/_times_of_one_operation,2)</f>
        <v>0</v>
      </c>
      <c r="DE58" s="9">
        <v>22</v>
      </c>
      <c r="DF58" s="11" t="s">
        <v>17</v>
      </c>
      <c r="DG58" s="9">
        <f ca="1">ROUND(COUNTIF(CE94:CE97,TRUE)/_times_of_one_operation,2)</f>
        <v>0</v>
      </c>
      <c r="DH58" s="9">
        <f ca="1">ROUND(COUNTIF(CF94:CF97,TRUE)/_times_of_one_operation,2)</f>
        <v>0</v>
      </c>
      <c r="DI58" s="9">
        <f ca="1">ROUND(COUNTIF(CG94:CG97,TRUE)/_times_of_one_operation,2)</f>
        <v>0</v>
      </c>
    </row>
    <row r="59" spans="38:113" ht="16.5" customHeight="1">
      <c r="AL59" s="12"/>
      <c r="AS59" s="12"/>
      <c r="AZ59" s="9">
        <v>50</v>
      </c>
      <c r="BA59" s="11">
        <f t="shared" si="26"/>
        <v>36892.510416666548</v>
      </c>
      <c r="BB59" s="9" cm="1">
        <f t="array" aca="1" ref="BB59" ca="1">INDIRECT(ADDRESS(2+$AZ59,1+MATCH($AE$9,INDIRECT($AE$16&amp;"!$B$2:$R$2"),0),1,1,$AE$16))</f>
        <v>0</v>
      </c>
      <c r="BC59" s="9" cm="1">
        <f t="array" aca="1" ref="BC59" ca="1">INDIRECT(ADDRESS(2+$AZ59,1+MATCH($AE$9,INDIRECT($AE$17&amp;"!$B$2:$R$2"),0),1,1,$AE$17))</f>
        <v>0</v>
      </c>
      <c r="BD59" s="9" cm="1">
        <f t="array" aca="1" ref="BD59" ca="1">INDIRECT(ADDRESS(2+$AZ59,1+MATCH($AE$9,INDIRECT($AE$18&amp;"!$B$2:$R$2"),0),1,1,$AE$18))</f>
        <v>0</v>
      </c>
      <c r="BH59" s="9">
        <v>50</v>
      </c>
      <c r="BI59" s="11">
        <f t="shared" si="27"/>
        <v>36892.510416666548</v>
      </c>
      <c r="BJ59" s="9" t="b">
        <f t="shared" ca="1" si="7"/>
        <v>1</v>
      </c>
      <c r="BK59" s="9" t="b">
        <f t="shared" ca="1" si="8"/>
        <v>1</v>
      </c>
      <c r="BL59" s="9" t="b">
        <f t="shared" ca="1" si="9"/>
        <v>1</v>
      </c>
      <c r="BO59" s="9">
        <v>50</v>
      </c>
      <c r="BP59" s="11">
        <f t="shared" si="28"/>
        <v>36892.510416666548</v>
      </c>
      <c r="BQ59" s="9" t="str">
        <f t="shared" ca="1" si="10"/>
        <v/>
      </c>
      <c r="BR59" s="9" t="str">
        <f t="shared" ca="1" si="11"/>
        <v/>
      </c>
      <c r="BS59" s="9" t="str">
        <f t="shared" ca="1" si="12"/>
        <v/>
      </c>
      <c r="BV59" s="9">
        <v>50</v>
      </c>
      <c r="BW59" s="11">
        <f t="shared" si="29"/>
        <v>36892.510416666548</v>
      </c>
      <c r="BX59" s="9" t="str">
        <f t="shared" ca="1" si="13"/>
        <v/>
      </c>
      <c r="BY59" s="9" t="str">
        <f t="shared" ca="1" si="14"/>
        <v/>
      </c>
      <c r="BZ59" s="9" t="str">
        <f t="shared" ca="1" si="15"/>
        <v/>
      </c>
      <c r="CC59" s="9">
        <v>50</v>
      </c>
      <c r="CD59" s="11">
        <f t="shared" si="30"/>
        <v>36892.510416666548</v>
      </c>
      <c r="CE59" s="9" t="str">
        <f t="shared" ca="1" si="16"/>
        <v/>
      </c>
      <c r="CF59" s="9" t="str">
        <f t="shared" ca="1" si="17"/>
        <v/>
      </c>
      <c r="CG59" s="9" t="str">
        <f t="shared" ca="1" si="18"/>
        <v/>
      </c>
      <c r="CJ59" s="9">
        <v>23</v>
      </c>
      <c r="CK59" s="11" t="s">
        <v>18</v>
      </c>
      <c r="CL59" s="9">
        <f ca="1">ROUND(COUNTIF(BJ98:BJ101,TRUE)/_times_of_one_operation,2)</f>
        <v>1.33</v>
      </c>
      <c r="CM59" s="9">
        <f ca="1">ROUND(COUNTIF(BK98:BK101,TRUE)/_times_of_one_operation,2)</f>
        <v>1.33</v>
      </c>
      <c r="CN59" s="9">
        <f ca="1">ROUND(COUNTIF(BL98:BL101,TRUE)/_times_of_one_operation,2)</f>
        <v>1.33</v>
      </c>
      <c r="CQ59" s="9">
        <v>23</v>
      </c>
      <c r="CR59" s="11" t="s">
        <v>18</v>
      </c>
      <c r="CS59" s="9">
        <f ca="1">ROUND(COUNTIF(BQ98:BQ101,TRUE)/_times_of_one_operation,2)</f>
        <v>0</v>
      </c>
      <c r="CT59" s="9">
        <f ca="1">ROUND(COUNTIF(BR98:BR101,TRUE)/_times_of_one_operation,2)</f>
        <v>0</v>
      </c>
      <c r="CU59" s="9">
        <f ca="1">ROUND(COUNTIF(BS98:BS101,TRUE)/_times_of_one_operation,2)</f>
        <v>0</v>
      </c>
      <c r="CX59" s="9">
        <v>23</v>
      </c>
      <c r="CY59" s="11" t="s">
        <v>18</v>
      </c>
      <c r="CZ59" s="9">
        <f ca="1">ROUND(COUNTIF(BX98:BX101,TRUE)/_times_of_one_operation,2)</f>
        <v>0</v>
      </c>
      <c r="DA59" s="9">
        <f ca="1">ROUND(COUNTIF(BY98:BY101,TRUE)/_times_of_one_operation,2)</f>
        <v>0</v>
      </c>
      <c r="DB59" s="9">
        <f ca="1">ROUND(COUNTIF(BZ98:BZ101,TRUE)/_times_of_one_operation,2)</f>
        <v>0</v>
      </c>
      <c r="DE59" s="9">
        <v>23</v>
      </c>
      <c r="DF59" s="11" t="s">
        <v>18</v>
      </c>
      <c r="DG59" s="9">
        <f ca="1">ROUND(COUNTIF(CE98:CE101,TRUE)/_times_of_one_operation,2)</f>
        <v>0</v>
      </c>
      <c r="DH59" s="9">
        <f ca="1">ROUND(COUNTIF(CF98:CF101,TRUE)/_times_of_one_operation,2)</f>
        <v>0</v>
      </c>
      <c r="DI59" s="9">
        <f ca="1">ROUND(COUNTIF(CG98:CG101,TRUE)/_times_of_one_operation,2)</f>
        <v>0</v>
      </c>
    </row>
    <row r="60" spans="38:113" ht="16.5" customHeight="1">
      <c r="AL60" s="12"/>
      <c r="AS60" s="12"/>
      <c r="AZ60" s="9">
        <v>51</v>
      </c>
      <c r="BA60" s="11">
        <f t="shared" si="26"/>
        <v>36892.520833333212</v>
      </c>
      <c r="BB60" s="9" cm="1">
        <f t="array" aca="1" ref="BB60" ca="1">INDIRECT(ADDRESS(2+$AZ60,1+MATCH($AE$9,INDIRECT($AE$16&amp;"!$B$2:$R$2"),0),1,1,$AE$16))</f>
        <v>0</v>
      </c>
      <c r="BC60" s="9" cm="1">
        <f t="array" aca="1" ref="BC60" ca="1">INDIRECT(ADDRESS(2+$AZ60,1+MATCH($AE$9,INDIRECT($AE$17&amp;"!$B$2:$R$2"),0),1,1,$AE$17))</f>
        <v>0</v>
      </c>
      <c r="BD60" s="9" cm="1">
        <f t="array" aca="1" ref="BD60" ca="1">INDIRECT(ADDRESS(2+$AZ60,1+MATCH($AE$9,INDIRECT($AE$18&amp;"!$B$2:$R$2"),0),1,1,$AE$18))</f>
        <v>0</v>
      </c>
      <c r="BH60" s="9">
        <v>51</v>
      </c>
      <c r="BI60" s="11">
        <f t="shared" si="27"/>
        <v>36892.520833333212</v>
      </c>
      <c r="BJ60" s="9" t="b">
        <f t="shared" ca="1" si="7"/>
        <v>1</v>
      </c>
      <c r="BK60" s="9" t="b">
        <f t="shared" ca="1" si="8"/>
        <v>1</v>
      </c>
      <c r="BL60" s="9" t="b">
        <f t="shared" ca="1" si="9"/>
        <v>1</v>
      </c>
      <c r="BO60" s="9">
        <v>51</v>
      </c>
      <c r="BP60" s="11">
        <f t="shared" si="28"/>
        <v>36892.520833333212</v>
      </c>
      <c r="BQ60" s="9" t="str">
        <f t="shared" ca="1" si="10"/>
        <v/>
      </c>
      <c r="BR60" s="9" t="str">
        <f t="shared" ca="1" si="11"/>
        <v/>
      </c>
      <c r="BS60" s="9" t="str">
        <f t="shared" ca="1" si="12"/>
        <v/>
      </c>
      <c r="BV60" s="9">
        <v>51</v>
      </c>
      <c r="BW60" s="11">
        <f t="shared" si="29"/>
        <v>36892.520833333212</v>
      </c>
      <c r="BX60" s="9" t="str">
        <f t="shared" ca="1" si="13"/>
        <v/>
      </c>
      <c r="BY60" s="9" t="str">
        <f t="shared" ca="1" si="14"/>
        <v/>
      </c>
      <c r="BZ60" s="9" t="str">
        <f t="shared" ca="1" si="15"/>
        <v/>
      </c>
      <c r="CC60" s="9">
        <v>51</v>
      </c>
      <c r="CD60" s="11">
        <f t="shared" si="30"/>
        <v>36892.520833333212</v>
      </c>
      <c r="CE60" s="9" t="str">
        <f t="shared" ca="1" si="16"/>
        <v/>
      </c>
      <c r="CF60" s="9" t="str">
        <f t="shared" ca="1" si="17"/>
        <v/>
      </c>
      <c r="CG60" s="9" t="str">
        <f t="shared" ca="1" si="18"/>
        <v/>
      </c>
      <c r="CJ60" s="9">
        <v>24</v>
      </c>
      <c r="CK60" s="11" t="s">
        <v>126</v>
      </c>
      <c r="CL60" s="9">
        <f ca="1">ROUND(COUNTIF(BJ102:BJ105,TRUE)/_times_of_one_operation,2)</f>
        <v>1.33</v>
      </c>
      <c r="CM60" s="9">
        <f ca="1">ROUND(COUNTIF(BK102:BK105,TRUE)/_times_of_one_operation,2)</f>
        <v>1.33</v>
      </c>
      <c r="CN60" s="9">
        <f ca="1">ROUND(COUNTIF(BL102:BL105,TRUE)/_times_of_one_operation,2)</f>
        <v>1.33</v>
      </c>
      <c r="CQ60" s="9">
        <v>24</v>
      </c>
      <c r="CR60" s="11" t="s">
        <v>126</v>
      </c>
      <c r="CS60" s="9">
        <f ca="1">ROUND(COUNTIF(BQ102:BQ105,TRUE)/_times_of_one_operation,2)</f>
        <v>0</v>
      </c>
      <c r="CT60" s="9">
        <f ca="1">ROUND(COUNTIF(BR102:BR105,TRUE)/_times_of_one_operation,2)</f>
        <v>0</v>
      </c>
      <c r="CU60" s="9">
        <f ca="1">ROUND(COUNTIF(BS102:BS105,TRUE)/_times_of_one_operation,2)</f>
        <v>0</v>
      </c>
      <c r="CX60" s="9">
        <v>24</v>
      </c>
      <c r="CY60" s="11" t="s">
        <v>126</v>
      </c>
      <c r="CZ60" s="9">
        <f ca="1">ROUND(COUNTIF(BX102:BX105,TRUE)/_times_of_one_operation,2)</f>
        <v>0</v>
      </c>
      <c r="DA60" s="9">
        <f ca="1">ROUND(COUNTIF(BY102:BY105,TRUE)/_times_of_one_operation,2)</f>
        <v>0</v>
      </c>
      <c r="DB60" s="9">
        <f ca="1">ROUND(COUNTIF(BZ102:BZ105,TRUE)/_times_of_one_operation,2)</f>
        <v>0</v>
      </c>
      <c r="DE60" s="9">
        <v>24</v>
      </c>
      <c r="DF60" s="11" t="s">
        <v>126</v>
      </c>
      <c r="DG60" s="9">
        <f ca="1">ROUND(COUNTIF(CE102:CE105,TRUE)/_times_of_one_operation,2)</f>
        <v>0</v>
      </c>
      <c r="DH60" s="9">
        <f ca="1">ROUND(COUNTIF(CF102:CF105,TRUE)/_times_of_one_operation,2)</f>
        <v>0</v>
      </c>
      <c r="DI60" s="9">
        <f ca="1">ROUND(COUNTIF(CG102:CG105,TRUE)/_times_of_one_operation,2)</f>
        <v>0</v>
      </c>
    </row>
    <row r="61" spans="38:113" ht="16.5" customHeight="1">
      <c r="AL61" s="12"/>
      <c r="AS61" s="12"/>
      <c r="AZ61" s="9">
        <v>52</v>
      </c>
      <c r="BA61" s="11">
        <f t="shared" si="26"/>
        <v>36892.531249999876</v>
      </c>
      <c r="BB61" s="9" cm="1">
        <f t="array" aca="1" ref="BB61" ca="1">INDIRECT(ADDRESS(2+$AZ61,1+MATCH($AE$9,INDIRECT($AE$16&amp;"!$B$2:$R$2"),0),1,1,$AE$16))</f>
        <v>0</v>
      </c>
      <c r="BC61" s="9" cm="1">
        <f t="array" aca="1" ref="BC61" ca="1">INDIRECT(ADDRESS(2+$AZ61,1+MATCH($AE$9,INDIRECT($AE$17&amp;"!$B$2:$R$2"),0),1,1,$AE$17))</f>
        <v>0</v>
      </c>
      <c r="BD61" s="9" cm="1">
        <f t="array" aca="1" ref="BD61" ca="1">INDIRECT(ADDRESS(2+$AZ61,1+MATCH($AE$9,INDIRECT($AE$18&amp;"!$B$2:$R$2"),0),1,1,$AE$18))</f>
        <v>0</v>
      </c>
      <c r="BH61" s="9">
        <v>52</v>
      </c>
      <c r="BI61" s="11">
        <f t="shared" si="27"/>
        <v>36892.531249999876</v>
      </c>
      <c r="BJ61" s="9" t="b">
        <f t="shared" ca="1" si="7"/>
        <v>1</v>
      </c>
      <c r="BK61" s="9" t="b">
        <f t="shared" ca="1" si="8"/>
        <v>1</v>
      </c>
      <c r="BL61" s="9" t="b">
        <f t="shared" ca="1" si="9"/>
        <v>1</v>
      </c>
      <c r="BO61" s="9">
        <v>52</v>
      </c>
      <c r="BP61" s="11">
        <f t="shared" si="28"/>
        <v>36892.531249999876</v>
      </c>
      <c r="BQ61" s="9" t="str">
        <f t="shared" ca="1" si="10"/>
        <v/>
      </c>
      <c r="BR61" s="9" t="str">
        <f t="shared" ca="1" si="11"/>
        <v/>
      </c>
      <c r="BS61" s="9" t="str">
        <f t="shared" ca="1" si="12"/>
        <v/>
      </c>
      <c r="BV61" s="9">
        <v>52</v>
      </c>
      <c r="BW61" s="11">
        <f t="shared" si="29"/>
        <v>36892.531249999876</v>
      </c>
      <c r="BX61" s="9" t="str">
        <f t="shared" ca="1" si="13"/>
        <v/>
      </c>
      <c r="BY61" s="9" t="str">
        <f t="shared" ca="1" si="14"/>
        <v/>
      </c>
      <c r="BZ61" s="9" t="str">
        <f t="shared" ca="1" si="15"/>
        <v/>
      </c>
      <c r="CC61" s="9">
        <v>52</v>
      </c>
      <c r="CD61" s="11">
        <f t="shared" si="30"/>
        <v>36892.531249999876</v>
      </c>
      <c r="CE61" s="9" t="str">
        <f t="shared" ca="1" si="16"/>
        <v/>
      </c>
      <c r="CF61" s="9" t="str">
        <f t="shared" ca="1" si="17"/>
        <v/>
      </c>
      <c r="CG61" s="9" t="str">
        <f t="shared" ca="1" si="18"/>
        <v/>
      </c>
      <c r="CK61" s="12"/>
      <c r="CR61" s="12"/>
      <c r="CY61" s="12"/>
      <c r="DF61" s="12"/>
    </row>
    <row r="62" spans="38:113" ht="16.5" customHeight="1">
      <c r="AL62" s="12"/>
      <c r="AS62" s="12"/>
      <c r="AZ62" s="9">
        <v>53</v>
      </c>
      <c r="BA62" s="11">
        <f t="shared" si="26"/>
        <v>36892.541666666541</v>
      </c>
      <c r="BB62" s="9" cm="1">
        <f t="array" aca="1" ref="BB62" ca="1">INDIRECT(ADDRESS(2+$AZ62,1+MATCH($AE$9,INDIRECT($AE$16&amp;"!$B$2:$R$2"),0),1,1,$AE$16))</f>
        <v>0</v>
      </c>
      <c r="BC62" s="9" cm="1">
        <f t="array" aca="1" ref="BC62" ca="1">INDIRECT(ADDRESS(2+$AZ62,1+MATCH($AE$9,INDIRECT($AE$17&amp;"!$B$2:$R$2"),0),1,1,$AE$17))</f>
        <v>0</v>
      </c>
      <c r="BD62" s="9" cm="1">
        <f t="array" aca="1" ref="BD62" ca="1">INDIRECT(ADDRESS(2+$AZ62,1+MATCH($AE$9,INDIRECT($AE$18&amp;"!$B$2:$R$2"),0),1,1,$AE$18))</f>
        <v>0</v>
      </c>
      <c r="BH62" s="9">
        <v>53</v>
      </c>
      <c r="BI62" s="11">
        <f t="shared" si="27"/>
        <v>36892.541666666541</v>
      </c>
      <c r="BJ62" s="9" t="b">
        <f t="shared" ca="1" si="7"/>
        <v>1</v>
      </c>
      <c r="BK62" s="9" t="b">
        <f t="shared" ca="1" si="8"/>
        <v>1</v>
      </c>
      <c r="BL62" s="9" t="b">
        <f t="shared" ca="1" si="9"/>
        <v>1</v>
      </c>
      <c r="BO62" s="9">
        <v>53</v>
      </c>
      <c r="BP62" s="11">
        <f t="shared" si="28"/>
        <v>36892.541666666541</v>
      </c>
      <c r="BQ62" s="9" t="str">
        <f t="shared" ca="1" si="10"/>
        <v/>
      </c>
      <c r="BR62" s="9" t="str">
        <f t="shared" ca="1" si="11"/>
        <v/>
      </c>
      <c r="BS62" s="9" t="str">
        <f t="shared" ca="1" si="12"/>
        <v/>
      </c>
      <c r="BV62" s="9">
        <v>53</v>
      </c>
      <c r="BW62" s="11">
        <f t="shared" si="29"/>
        <v>36892.541666666541</v>
      </c>
      <c r="BX62" s="9" t="str">
        <f t="shared" ca="1" si="13"/>
        <v/>
      </c>
      <c r="BY62" s="9" t="str">
        <f t="shared" ca="1" si="14"/>
        <v/>
      </c>
      <c r="BZ62" s="9" t="str">
        <f t="shared" ca="1" si="15"/>
        <v/>
      </c>
      <c r="CC62" s="9">
        <v>53</v>
      </c>
      <c r="CD62" s="11">
        <f t="shared" si="30"/>
        <v>36892.541666666541</v>
      </c>
      <c r="CE62" s="9" t="str">
        <f t="shared" ca="1" si="16"/>
        <v/>
      </c>
      <c r="CF62" s="9" t="str">
        <f t="shared" ca="1" si="17"/>
        <v/>
      </c>
      <c r="CG62" s="9" t="str">
        <f t="shared" ca="1" si="18"/>
        <v/>
      </c>
      <c r="CK62" s="12"/>
      <c r="CR62" s="12"/>
      <c r="CY62" s="12"/>
      <c r="DF62" s="12"/>
    </row>
    <row r="63" spans="38:113" ht="16.5" customHeight="1">
      <c r="AL63" s="12"/>
      <c r="AS63" s="12"/>
      <c r="AZ63" s="9">
        <v>54</v>
      </c>
      <c r="BA63" s="11">
        <f t="shared" si="26"/>
        <v>36892.552083333205</v>
      </c>
      <c r="BB63" s="9" cm="1">
        <f t="array" aca="1" ref="BB63" ca="1">INDIRECT(ADDRESS(2+$AZ63,1+MATCH($AE$9,INDIRECT($AE$16&amp;"!$B$2:$R$2"),0),1,1,$AE$16))</f>
        <v>0</v>
      </c>
      <c r="BC63" s="9" cm="1">
        <f t="array" aca="1" ref="BC63" ca="1">INDIRECT(ADDRESS(2+$AZ63,1+MATCH($AE$9,INDIRECT($AE$17&amp;"!$B$2:$R$2"),0),1,1,$AE$17))</f>
        <v>0</v>
      </c>
      <c r="BD63" s="9" cm="1">
        <f t="array" aca="1" ref="BD63" ca="1">INDIRECT(ADDRESS(2+$AZ63,1+MATCH($AE$9,INDIRECT($AE$18&amp;"!$B$2:$R$2"),0),1,1,$AE$18))</f>
        <v>0</v>
      </c>
      <c r="BH63" s="9">
        <v>54</v>
      </c>
      <c r="BI63" s="11">
        <f t="shared" si="27"/>
        <v>36892.552083333205</v>
      </c>
      <c r="BJ63" s="9" t="b">
        <f ca="1">IF($BB63=0,TRUE,"")</f>
        <v>1</v>
      </c>
      <c r="BK63" s="9" t="b">
        <f t="shared" ca="1" si="8"/>
        <v>1</v>
      </c>
      <c r="BL63" s="9" t="b">
        <f t="shared" ca="1" si="9"/>
        <v>1</v>
      </c>
      <c r="BO63" s="9">
        <v>54</v>
      </c>
      <c r="BP63" s="11">
        <f t="shared" si="28"/>
        <v>36892.552083333205</v>
      </c>
      <c r="BQ63" s="9" t="str">
        <f t="shared" ca="1" si="10"/>
        <v/>
      </c>
      <c r="BR63" s="9" t="str">
        <f t="shared" ca="1" si="11"/>
        <v/>
      </c>
      <c r="BS63" s="9" t="str">
        <f t="shared" ca="1" si="12"/>
        <v/>
      </c>
      <c r="BV63" s="9">
        <v>54</v>
      </c>
      <c r="BW63" s="11">
        <f t="shared" si="29"/>
        <v>36892.552083333205</v>
      </c>
      <c r="BX63" s="9" t="str">
        <f t="shared" ca="1" si="13"/>
        <v/>
      </c>
      <c r="BY63" s="9" t="str">
        <f t="shared" ca="1" si="14"/>
        <v/>
      </c>
      <c r="BZ63" s="9" t="str">
        <f t="shared" ca="1" si="15"/>
        <v/>
      </c>
      <c r="CC63" s="9">
        <v>54</v>
      </c>
      <c r="CD63" s="11">
        <f t="shared" si="30"/>
        <v>36892.552083333205</v>
      </c>
      <c r="CE63" s="9" t="str">
        <f t="shared" ca="1" si="16"/>
        <v/>
      </c>
      <c r="CF63" s="9" t="str">
        <f t="shared" ca="1" si="17"/>
        <v/>
      </c>
      <c r="CG63" s="9" t="str">
        <f t="shared" ca="1" si="18"/>
        <v/>
      </c>
      <c r="CK63" s="12"/>
      <c r="CR63" s="12"/>
      <c r="CY63" s="12"/>
      <c r="DF63" s="12"/>
    </row>
    <row r="64" spans="38:113" ht="16.5" customHeight="1">
      <c r="AL64" s="12"/>
      <c r="AS64" s="12"/>
      <c r="AZ64" s="9">
        <v>55</v>
      </c>
      <c r="BA64" s="11">
        <f t="shared" si="26"/>
        <v>36892.562499999869</v>
      </c>
      <c r="BB64" s="9" cm="1">
        <f t="array" aca="1" ref="BB64" ca="1">INDIRECT(ADDRESS(2+$AZ64,1+MATCH($AE$9,INDIRECT($AE$16&amp;"!$B$2:$R$2"),0),1,1,$AE$16))</f>
        <v>0</v>
      </c>
      <c r="BC64" s="9" cm="1">
        <f t="array" aca="1" ref="BC64" ca="1">INDIRECT(ADDRESS(2+$AZ64,1+MATCH($AE$9,INDIRECT($AE$17&amp;"!$B$2:$R$2"),0),1,1,$AE$17))</f>
        <v>0</v>
      </c>
      <c r="BD64" s="9" cm="1">
        <f t="array" aca="1" ref="BD64" ca="1">INDIRECT(ADDRESS(2+$AZ64,1+MATCH($AE$9,INDIRECT($AE$18&amp;"!$B$2:$R$2"),0),1,1,$AE$18))</f>
        <v>0</v>
      </c>
      <c r="BH64" s="9">
        <v>55</v>
      </c>
      <c r="BI64" s="11">
        <f t="shared" si="27"/>
        <v>36892.562499999869</v>
      </c>
      <c r="BJ64" s="9" t="b">
        <f t="shared" ca="1" si="7"/>
        <v>1</v>
      </c>
      <c r="BK64" s="9" t="b">
        <f t="shared" ca="1" si="8"/>
        <v>1</v>
      </c>
      <c r="BL64" s="9" t="b">
        <f t="shared" ca="1" si="9"/>
        <v>1</v>
      </c>
      <c r="BO64" s="9">
        <v>55</v>
      </c>
      <c r="BP64" s="11">
        <f t="shared" si="28"/>
        <v>36892.562499999869</v>
      </c>
      <c r="BQ64" s="9" t="str">
        <f t="shared" ca="1" si="10"/>
        <v/>
      </c>
      <c r="BR64" s="9" t="str">
        <f t="shared" ca="1" si="11"/>
        <v/>
      </c>
      <c r="BS64" s="9" t="str">
        <f t="shared" ca="1" si="12"/>
        <v/>
      </c>
      <c r="BV64" s="9">
        <v>55</v>
      </c>
      <c r="BW64" s="11">
        <f t="shared" si="29"/>
        <v>36892.562499999869</v>
      </c>
      <c r="BX64" s="9" t="str">
        <f t="shared" ca="1" si="13"/>
        <v/>
      </c>
      <c r="BY64" s="9" t="str">
        <f t="shared" ca="1" si="14"/>
        <v/>
      </c>
      <c r="BZ64" s="9" t="str">
        <f t="shared" ca="1" si="15"/>
        <v/>
      </c>
      <c r="CC64" s="9">
        <v>55</v>
      </c>
      <c r="CD64" s="11">
        <f t="shared" si="30"/>
        <v>36892.562499999869</v>
      </c>
      <c r="CE64" s="9" t="str">
        <f t="shared" ca="1" si="16"/>
        <v/>
      </c>
      <c r="CF64" s="9" t="str">
        <f t="shared" ca="1" si="17"/>
        <v/>
      </c>
      <c r="CG64" s="9" t="str">
        <f t="shared" ca="1" si="18"/>
        <v/>
      </c>
      <c r="CK64" s="12"/>
      <c r="CR64" s="12"/>
      <c r="CY64" s="12"/>
      <c r="DF64" s="12"/>
    </row>
    <row r="65" spans="38:110" ht="16.5" customHeight="1">
      <c r="AL65" s="12"/>
      <c r="AS65" s="12"/>
      <c r="AZ65" s="9">
        <v>56</v>
      </c>
      <c r="BA65" s="11">
        <f t="shared" si="26"/>
        <v>36892.572916666533</v>
      </c>
      <c r="BB65" s="9" cm="1">
        <f t="array" aca="1" ref="BB65" ca="1">INDIRECT(ADDRESS(2+$AZ65,1+MATCH($AE$9,INDIRECT($AE$16&amp;"!$B$2:$R$2"),0),1,1,$AE$16))</f>
        <v>0</v>
      </c>
      <c r="BC65" s="9" cm="1">
        <f t="array" aca="1" ref="BC65" ca="1">INDIRECT(ADDRESS(2+$AZ65,1+MATCH($AE$9,INDIRECT($AE$17&amp;"!$B$2:$R$2"),0),1,1,$AE$17))</f>
        <v>0</v>
      </c>
      <c r="BD65" s="9" cm="1">
        <f t="array" aca="1" ref="BD65" ca="1">INDIRECT(ADDRESS(2+$AZ65,1+MATCH($AE$9,INDIRECT($AE$18&amp;"!$B$2:$R$2"),0),1,1,$AE$18))</f>
        <v>0</v>
      </c>
      <c r="BH65" s="9">
        <v>56</v>
      </c>
      <c r="BI65" s="11">
        <f t="shared" si="27"/>
        <v>36892.572916666533</v>
      </c>
      <c r="BJ65" s="9" t="b">
        <f t="shared" ca="1" si="7"/>
        <v>1</v>
      </c>
      <c r="BK65" s="9" t="b">
        <f t="shared" ca="1" si="8"/>
        <v>1</v>
      </c>
      <c r="BL65" s="9" t="b">
        <f t="shared" ca="1" si="9"/>
        <v>1</v>
      </c>
      <c r="BO65" s="9">
        <v>56</v>
      </c>
      <c r="BP65" s="11">
        <f t="shared" si="28"/>
        <v>36892.572916666533</v>
      </c>
      <c r="BQ65" s="9" t="str">
        <f t="shared" ca="1" si="10"/>
        <v/>
      </c>
      <c r="BR65" s="9" t="str">
        <f t="shared" ca="1" si="11"/>
        <v/>
      </c>
      <c r="BS65" s="9" t="str">
        <f t="shared" ca="1" si="12"/>
        <v/>
      </c>
      <c r="BV65" s="9">
        <v>56</v>
      </c>
      <c r="BW65" s="11">
        <f t="shared" si="29"/>
        <v>36892.572916666533</v>
      </c>
      <c r="BX65" s="9" t="str">
        <f t="shared" ca="1" si="13"/>
        <v/>
      </c>
      <c r="BY65" s="9" t="str">
        <f t="shared" ca="1" si="14"/>
        <v/>
      </c>
      <c r="BZ65" s="9" t="str">
        <f t="shared" ca="1" si="15"/>
        <v/>
      </c>
      <c r="CC65" s="9">
        <v>56</v>
      </c>
      <c r="CD65" s="11">
        <f t="shared" si="30"/>
        <v>36892.572916666533</v>
      </c>
      <c r="CE65" s="9" t="str">
        <f t="shared" ca="1" si="16"/>
        <v/>
      </c>
      <c r="CF65" s="9" t="str">
        <f t="shared" ca="1" si="17"/>
        <v/>
      </c>
      <c r="CG65" s="9" t="str">
        <f t="shared" ca="1" si="18"/>
        <v/>
      </c>
      <c r="CK65" s="12"/>
      <c r="CR65" s="12"/>
      <c r="CY65" s="12"/>
      <c r="DF65" s="12"/>
    </row>
    <row r="66" spans="38:110" ht="16.5" customHeight="1">
      <c r="AL66" s="12"/>
      <c r="AS66" s="12"/>
      <c r="AZ66" s="9">
        <v>57</v>
      </c>
      <c r="BA66" s="11">
        <f t="shared" si="26"/>
        <v>36892.583333333198</v>
      </c>
      <c r="BB66" s="9" cm="1">
        <f t="array" aca="1" ref="BB66" ca="1">INDIRECT(ADDRESS(2+$AZ66,1+MATCH($AE$9,INDIRECT($AE$16&amp;"!$B$2:$R$2"),0),1,1,$AE$16))</f>
        <v>0</v>
      </c>
      <c r="BC66" s="9" cm="1">
        <f t="array" aca="1" ref="BC66" ca="1">INDIRECT(ADDRESS(2+$AZ66,1+MATCH($AE$9,INDIRECT($AE$17&amp;"!$B$2:$R$2"),0),1,1,$AE$17))</f>
        <v>0</v>
      </c>
      <c r="BD66" s="9" cm="1">
        <f t="array" aca="1" ref="BD66" ca="1">INDIRECT(ADDRESS(2+$AZ66,1+MATCH($AE$9,INDIRECT($AE$18&amp;"!$B$2:$R$2"),0),1,1,$AE$18))</f>
        <v>0</v>
      </c>
      <c r="BH66" s="9">
        <v>57</v>
      </c>
      <c r="BI66" s="11">
        <f t="shared" si="27"/>
        <v>36892.583333333198</v>
      </c>
      <c r="BJ66" s="9" t="b">
        <f t="shared" ca="1" si="7"/>
        <v>1</v>
      </c>
      <c r="BK66" s="9" t="b">
        <f t="shared" ca="1" si="8"/>
        <v>1</v>
      </c>
      <c r="BL66" s="9" t="b">
        <f t="shared" ca="1" si="9"/>
        <v>1</v>
      </c>
      <c r="BO66" s="9">
        <v>57</v>
      </c>
      <c r="BP66" s="11">
        <f t="shared" si="28"/>
        <v>36892.583333333198</v>
      </c>
      <c r="BQ66" s="9" t="str">
        <f t="shared" ca="1" si="10"/>
        <v/>
      </c>
      <c r="BR66" s="9" t="str">
        <f t="shared" ca="1" si="11"/>
        <v/>
      </c>
      <c r="BS66" s="9" t="str">
        <f t="shared" ca="1" si="12"/>
        <v/>
      </c>
      <c r="BV66" s="9">
        <v>57</v>
      </c>
      <c r="BW66" s="11">
        <f t="shared" si="29"/>
        <v>36892.583333333198</v>
      </c>
      <c r="BX66" s="9" t="str">
        <f t="shared" ca="1" si="13"/>
        <v/>
      </c>
      <c r="BY66" s="9" t="str">
        <f t="shared" ca="1" si="14"/>
        <v/>
      </c>
      <c r="BZ66" s="9" t="str">
        <f t="shared" ca="1" si="15"/>
        <v/>
      </c>
      <c r="CC66" s="9">
        <v>57</v>
      </c>
      <c r="CD66" s="11">
        <f t="shared" si="30"/>
        <v>36892.583333333198</v>
      </c>
      <c r="CE66" s="9" t="str">
        <f t="shared" ca="1" si="16"/>
        <v/>
      </c>
      <c r="CF66" s="9" t="str">
        <f t="shared" ca="1" si="17"/>
        <v/>
      </c>
      <c r="CG66" s="9" t="str">
        <f t="shared" ca="1" si="18"/>
        <v/>
      </c>
      <c r="CK66" s="12"/>
      <c r="CR66" s="12"/>
      <c r="CY66" s="12"/>
      <c r="DF66" s="12"/>
    </row>
    <row r="67" spans="38:110" ht="16.5" customHeight="1">
      <c r="AL67" s="12"/>
      <c r="AS67" s="12"/>
      <c r="AZ67" s="9">
        <v>58</v>
      </c>
      <c r="BA67" s="11">
        <f t="shared" si="26"/>
        <v>36892.593749999862</v>
      </c>
      <c r="BB67" s="9" cm="1">
        <f t="array" aca="1" ref="BB67" ca="1">INDIRECT(ADDRESS(2+$AZ67,1+MATCH($AE$9,INDIRECT($AE$16&amp;"!$B$2:$R$2"),0),1,1,$AE$16))</f>
        <v>0</v>
      </c>
      <c r="BC67" s="9" cm="1">
        <f t="array" aca="1" ref="BC67" ca="1">INDIRECT(ADDRESS(2+$AZ67,1+MATCH($AE$9,INDIRECT($AE$17&amp;"!$B$2:$R$2"),0),1,1,$AE$17))</f>
        <v>0</v>
      </c>
      <c r="BD67" s="9" cm="1">
        <f t="array" aca="1" ref="BD67" ca="1">INDIRECT(ADDRESS(2+$AZ67,1+MATCH($AE$9,INDIRECT($AE$18&amp;"!$B$2:$R$2"),0),1,1,$AE$18))</f>
        <v>0</v>
      </c>
      <c r="BH67" s="9">
        <v>58</v>
      </c>
      <c r="BI67" s="11">
        <f t="shared" si="27"/>
        <v>36892.593749999862</v>
      </c>
      <c r="BJ67" s="9" t="b">
        <f t="shared" ca="1" si="7"/>
        <v>1</v>
      </c>
      <c r="BK67" s="9" t="b">
        <f t="shared" ca="1" si="8"/>
        <v>1</v>
      </c>
      <c r="BL67" s="9" t="b">
        <f t="shared" ca="1" si="9"/>
        <v>1</v>
      </c>
      <c r="BO67" s="9">
        <v>58</v>
      </c>
      <c r="BP67" s="11">
        <f t="shared" si="28"/>
        <v>36892.593749999862</v>
      </c>
      <c r="BQ67" s="9" t="str">
        <f t="shared" ca="1" si="10"/>
        <v/>
      </c>
      <c r="BR67" s="9" t="str">
        <f t="shared" ca="1" si="11"/>
        <v/>
      </c>
      <c r="BS67" s="9" t="str">
        <f t="shared" ca="1" si="12"/>
        <v/>
      </c>
      <c r="BV67" s="9">
        <v>58</v>
      </c>
      <c r="BW67" s="11">
        <f t="shared" si="29"/>
        <v>36892.593749999862</v>
      </c>
      <c r="BX67" s="9" t="str">
        <f t="shared" ca="1" si="13"/>
        <v/>
      </c>
      <c r="BY67" s="9" t="str">
        <f t="shared" ca="1" si="14"/>
        <v/>
      </c>
      <c r="BZ67" s="9" t="str">
        <f t="shared" ca="1" si="15"/>
        <v/>
      </c>
      <c r="CC67" s="9">
        <v>58</v>
      </c>
      <c r="CD67" s="11">
        <f t="shared" si="30"/>
        <v>36892.593749999862</v>
      </c>
      <c r="CE67" s="9" t="str">
        <f t="shared" ca="1" si="16"/>
        <v/>
      </c>
      <c r="CF67" s="9" t="str">
        <f t="shared" ca="1" si="17"/>
        <v/>
      </c>
      <c r="CG67" s="9" t="str">
        <f t="shared" ca="1" si="18"/>
        <v/>
      </c>
      <c r="CK67" s="12"/>
      <c r="CR67" s="12"/>
      <c r="CY67" s="12"/>
      <c r="DF67" s="12"/>
    </row>
    <row r="68" spans="38:110" ht="16.5" customHeight="1">
      <c r="AL68" s="12"/>
      <c r="AS68" s="12"/>
      <c r="AZ68" s="9">
        <v>59</v>
      </c>
      <c r="BA68" s="11">
        <f t="shared" si="26"/>
        <v>36892.604166666526</v>
      </c>
      <c r="BB68" s="9" cm="1">
        <f t="array" aca="1" ref="BB68" ca="1">INDIRECT(ADDRESS(2+$AZ68,1+MATCH($AE$9,INDIRECT($AE$16&amp;"!$B$2:$R$2"),0),1,1,$AE$16))</f>
        <v>0</v>
      </c>
      <c r="BC68" s="9" cm="1">
        <f t="array" aca="1" ref="BC68" ca="1">INDIRECT(ADDRESS(2+$AZ68,1+MATCH($AE$9,INDIRECT($AE$17&amp;"!$B$2:$R$2"),0),1,1,$AE$17))</f>
        <v>0</v>
      </c>
      <c r="BD68" s="9" cm="1">
        <f t="array" aca="1" ref="BD68" ca="1">INDIRECT(ADDRESS(2+$AZ68,1+MATCH($AE$9,INDIRECT($AE$18&amp;"!$B$2:$R$2"),0),1,1,$AE$18))</f>
        <v>0</v>
      </c>
      <c r="BH68" s="9">
        <v>59</v>
      </c>
      <c r="BI68" s="11">
        <f t="shared" si="27"/>
        <v>36892.604166666526</v>
      </c>
      <c r="BJ68" s="9" t="b">
        <f t="shared" ca="1" si="7"/>
        <v>1</v>
      </c>
      <c r="BK68" s="9" t="b">
        <f t="shared" ca="1" si="8"/>
        <v>1</v>
      </c>
      <c r="BL68" s="9" t="b">
        <f t="shared" ca="1" si="9"/>
        <v>1</v>
      </c>
      <c r="BO68" s="9">
        <v>59</v>
      </c>
      <c r="BP68" s="11">
        <f t="shared" si="28"/>
        <v>36892.604166666526</v>
      </c>
      <c r="BQ68" s="9" t="str">
        <f t="shared" ca="1" si="10"/>
        <v/>
      </c>
      <c r="BR68" s="9" t="str">
        <f t="shared" ca="1" si="11"/>
        <v/>
      </c>
      <c r="BS68" s="9" t="str">
        <f t="shared" ca="1" si="12"/>
        <v/>
      </c>
      <c r="BV68" s="9">
        <v>59</v>
      </c>
      <c r="BW68" s="11">
        <f t="shared" si="29"/>
        <v>36892.604166666526</v>
      </c>
      <c r="BX68" s="9" t="str">
        <f t="shared" ca="1" si="13"/>
        <v/>
      </c>
      <c r="BY68" s="9" t="str">
        <f t="shared" ca="1" si="14"/>
        <v/>
      </c>
      <c r="BZ68" s="9" t="str">
        <f t="shared" ca="1" si="15"/>
        <v/>
      </c>
      <c r="CC68" s="9">
        <v>59</v>
      </c>
      <c r="CD68" s="11">
        <f t="shared" si="30"/>
        <v>36892.604166666526</v>
      </c>
      <c r="CE68" s="9" t="str">
        <f t="shared" ca="1" si="16"/>
        <v/>
      </c>
      <c r="CF68" s="9" t="str">
        <f t="shared" ca="1" si="17"/>
        <v/>
      </c>
      <c r="CG68" s="9" t="str">
        <f t="shared" ca="1" si="18"/>
        <v/>
      </c>
      <c r="CK68" s="12"/>
      <c r="CR68" s="12"/>
      <c r="CY68" s="12"/>
      <c r="DF68" s="12"/>
    </row>
    <row r="69" spans="38:110" ht="16.5" customHeight="1">
      <c r="AL69" s="12"/>
      <c r="AS69" s="12"/>
      <c r="AZ69" s="9">
        <v>60</v>
      </c>
      <c r="BA69" s="11">
        <f t="shared" si="26"/>
        <v>36892.61458333319</v>
      </c>
      <c r="BB69" s="9" cm="1">
        <f t="array" aca="1" ref="BB69" ca="1">INDIRECT(ADDRESS(2+$AZ69,1+MATCH($AE$9,INDIRECT($AE$16&amp;"!$B$2:$R$2"),0),1,1,$AE$16))</f>
        <v>0</v>
      </c>
      <c r="BC69" s="9" cm="1">
        <f t="array" aca="1" ref="BC69" ca="1">INDIRECT(ADDRESS(2+$AZ69,1+MATCH($AE$9,INDIRECT($AE$17&amp;"!$B$2:$R$2"),0),1,1,$AE$17))</f>
        <v>0</v>
      </c>
      <c r="BD69" s="9" cm="1">
        <f t="array" aca="1" ref="BD69" ca="1">INDIRECT(ADDRESS(2+$AZ69,1+MATCH($AE$9,INDIRECT($AE$18&amp;"!$B$2:$R$2"),0),1,1,$AE$18))</f>
        <v>0</v>
      </c>
      <c r="BH69" s="9">
        <v>60</v>
      </c>
      <c r="BI69" s="11">
        <f t="shared" si="27"/>
        <v>36892.61458333319</v>
      </c>
      <c r="BJ69" s="9" t="b">
        <f t="shared" ca="1" si="7"/>
        <v>1</v>
      </c>
      <c r="BK69" s="9" t="b">
        <f t="shared" ca="1" si="8"/>
        <v>1</v>
      </c>
      <c r="BL69" s="9" t="b">
        <f t="shared" ca="1" si="9"/>
        <v>1</v>
      </c>
      <c r="BO69" s="9">
        <v>60</v>
      </c>
      <c r="BP69" s="11">
        <f t="shared" si="28"/>
        <v>36892.61458333319</v>
      </c>
      <c r="BQ69" s="9" t="str">
        <f t="shared" ca="1" si="10"/>
        <v/>
      </c>
      <c r="BR69" s="9" t="str">
        <f t="shared" ca="1" si="11"/>
        <v/>
      </c>
      <c r="BS69" s="9" t="str">
        <f t="shared" ca="1" si="12"/>
        <v/>
      </c>
      <c r="BV69" s="9">
        <v>60</v>
      </c>
      <c r="BW69" s="11">
        <f t="shared" si="29"/>
        <v>36892.61458333319</v>
      </c>
      <c r="BX69" s="9" t="str">
        <f t="shared" ca="1" si="13"/>
        <v/>
      </c>
      <c r="BY69" s="9" t="str">
        <f t="shared" ca="1" si="14"/>
        <v/>
      </c>
      <c r="BZ69" s="9" t="str">
        <f t="shared" ca="1" si="15"/>
        <v/>
      </c>
      <c r="CC69" s="9">
        <v>60</v>
      </c>
      <c r="CD69" s="11">
        <f t="shared" si="30"/>
        <v>36892.61458333319</v>
      </c>
      <c r="CE69" s="9" t="str">
        <f t="shared" ca="1" si="16"/>
        <v/>
      </c>
      <c r="CF69" s="9" t="str">
        <f t="shared" ca="1" si="17"/>
        <v/>
      </c>
      <c r="CG69" s="9" t="str">
        <f t="shared" ca="1" si="18"/>
        <v/>
      </c>
      <c r="CK69" s="12"/>
      <c r="CR69" s="12"/>
      <c r="CY69" s="12"/>
      <c r="DF69" s="12"/>
    </row>
    <row r="70" spans="38:110" ht="16.5" customHeight="1">
      <c r="AL70" s="12"/>
      <c r="AS70" s="12"/>
      <c r="AZ70" s="9">
        <v>61</v>
      </c>
      <c r="BA70" s="11">
        <f t="shared" si="26"/>
        <v>36892.624999999854</v>
      </c>
      <c r="BB70" s="9" cm="1">
        <f t="array" aca="1" ref="BB70" ca="1">INDIRECT(ADDRESS(2+$AZ70,1+MATCH($AE$9,INDIRECT($AE$16&amp;"!$B$2:$R$2"),0),1,1,$AE$16))</f>
        <v>0</v>
      </c>
      <c r="BC70" s="9" cm="1">
        <f t="array" aca="1" ref="BC70" ca="1">INDIRECT(ADDRESS(2+$AZ70,1+MATCH($AE$9,INDIRECT($AE$17&amp;"!$B$2:$R$2"),0),1,1,$AE$17))</f>
        <v>0</v>
      </c>
      <c r="BD70" s="9" cm="1">
        <f t="array" aca="1" ref="BD70" ca="1">INDIRECT(ADDRESS(2+$AZ70,1+MATCH($AE$9,INDIRECT($AE$18&amp;"!$B$2:$R$2"),0),1,1,$AE$18))</f>
        <v>0</v>
      </c>
      <c r="BH70" s="9">
        <v>61</v>
      </c>
      <c r="BI70" s="11">
        <f t="shared" si="27"/>
        <v>36892.624999999854</v>
      </c>
      <c r="BJ70" s="9" t="b">
        <f t="shared" ca="1" si="7"/>
        <v>1</v>
      </c>
      <c r="BK70" s="9" t="b">
        <f t="shared" ca="1" si="8"/>
        <v>1</v>
      </c>
      <c r="BL70" s="9" t="b">
        <f t="shared" ca="1" si="9"/>
        <v>1</v>
      </c>
      <c r="BO70" s="9">
        <v>61</v>
      </c>
      <c r="BP70" s="11">
        <f t="shared" si="28"/>
        <v>36892.624999999854</v>
      </c>
      <c r="BQ70" s="9" t="str">
        <f t="shared" ca="1" si="10"/>
        <v/>
      </c>
      <c r="BR70" s="9" t="str">
        <f t="shared" ca="1" si="11"/>
        <v/>
      </c>
      <c r="BS70" s="9" t="str">
        <f t="shared" ca="1" si="12"/>
        <v/>
      </c>
      <c r="BV70" s="9">
        <v>61</v>
      </c>
      <c r="BW70" s="11">
        <f t="shared" si="29"/>
        <v>36892.624999999854</v>
      </c>
      <c r="BX70" s="9" t="str">
        <f t="shared" ca="1" si="13"/>
        <v/>
      </c>
      <c r="BY70" s="9" t="str">
        <f t="shared" ca="1" si="14"/>
        <v/>
      </c>
      <c r="BZ70" s="9" t="str">
        <f t="shared" ca="1" si="15"/>
        <v/>
      </c>
      <c r="CC70" s="9">
        <v>61</v>
      </c>
      <c r="CD70" s="11">
        <f t="shared" si="30"/>
        <v>36892.624999999854</v>
      </c>
      <c r="CE70" s="9" t="str">
        <f t="shared" ca="1" si="16"/>
        <v/>
      </c>
      <c r="CF70" s="9" t="str">
        <f t="shared" ca="1" si="17"/>
        <v/>
      </c>
      <c r="CG70" s="9" t="str">
        <f t="shared" ca="1" si="18"/>
        <v/>
      </c>
      <c r="CK70" s="12"/>
      <c r="CR70" s="12"/>
      <c r="CY70" s="12"/>
      <c r="DF70" s="12"/>
    </row>
    <row r="71" spans="38:110" ht="16.5" customHeight="1">
      <c r="AL71" s="12"/>
      <c r="AS71" s="12"/>
      <c r="AZ71" s="9">
        <v>62</v>
      </c>
      <c r="BA71" s="11">
        <f t="shared" si="26"/>
        <v>36892.635416666519</v>
      </c>
      <c r="BB71" s="9" cm="1">
        <f t="array" aca="1" ref="BB71" ca="1">INDIRECT(ADDRESS(2+$AZ71,1+MATCH($AE$9,INDIRECT($AE$16&amp;"!$B$2:$R$2"),0),1,1,$AE$16))</f>
        <v>0</v>
      </c>
      <c r="BC71" s="9" cm="1">
        <f t="array" aca="1" ref="BC71" ca="1">INDIRECT(ADDRESS(2+$AZ71,1+MATCH($AE$9,INDIRECT($AE$17&amp;"!$B$2:$R$2"),0),1,1,$AE$17))</f>
        <v>0</v>
      </c>
      <c r="BD71" s="9" cm="1">
        <f t="array" aca="1" ref="BD71" ca="1">INDIRECT(ADDRESS(2+$AZ71,1+MATCH($AE$9,INDIRECT($AE$18&amp;"!$B$2:$R$2"),0),1,1,$AE$18))</f>
        <v>0</v>
      </c>
      <c r="BH71" s="9">
        <v>62</v>
      </c>
      <c r="BI71" s="11">
        <f t="shared" si="27"/>
        <v>36892.635416666519</v>
      </c>
      <c r="BJ71" s="9" t="b">
        <f t="shared" ca="1" si="7"/>
        <v>1</v>
      </c>
      <c r="BK71" s="9" t="b">
        <f t="shared" ca="1" si="8"/>
        <v>1</v>
      </c>
      <c r="BL71" s="9" t="b">
        <f t="shared" ca="1" si="9"/>
        <v>1</v>
      </c>
      <c r="BO71" s="9">
        <v>62</v>
      </c>
      <c r="BP71" s="11">
        <f t="shared" si="28"/>
        <v>36892.635416666519</v>
      </c>
      <c r="BQ71" s="9" t="str">
        <f t="shared" ca="1" si="10"/>
        <v/>
      </c>
      <c r="BR71" s="9" t="str">
        <f t="shared" ca="1" si="11"/>
        <v/>
      </c>
      <c r="BS71" s="9" t="str">
        <f t="shared" ca="1" si="12"/>
        <v/>
      </c>
      <c r="BV71" s="9">
        <v>62</v>
      </c>
      <c r="BW71" s="11">
        <f t="shared" si="29"/>
        <v>36892.635416666519</v>
      </c>
      <c r="BX71" s="9" t="str">
        <f t="shared" ca="1" si="13"/>
        <v/>
      </c>
      <c r="BY71" s="9" t="str">
        <f t="shared" ca="1" si="14"/>
        <v/>
      </c>
      <c r="BZ71" s="9" t="str">
        <f t="shared" ca="1" si="15"/>
        <v/>
      </c>
      <c r="CC71" s="9">
        <v>62</v>
      </c>
      <c r="CD71" s="11">
        <f t="shared" si="30"/>
        <v>36892.635416666519</v>
      </c>
      <c r="CE71" s="9" t="str">
        <f t="shared" ca="1" si="16"/>
        <v/>
      </c>
      <c r="CF71" s="9" t="str">
        <f t="shared" ca="1" si="17"/>
        <v/>
      </c>
      <c r="CG71" s="9" t="str">
        <f t="shared" ca="1" si="18"/>
        <v/>
      </c>
      <c r="CK71" s="12"/>
      <c r="CR71" s="12"/>
      <c r="CY71" s="12"/>
      <c r="DF71" s="12"/>
    </row>
    <row r="72" spans="38:110" ht="16.5" customHeight="1">
      <c r="AL72" s="12"/>
      <c r="AS72" s="12"/>
      <c r="AZ72" s="9">
        <v>63</v>
      </c>
      <c r="BA72" s="11">
        <f t="shared" si="26"/>
        <v>36892.645833333183</v>
      </c>
      <c r="BB72" s="9" cm="1">
        <f t="array" aca="1" ref="BB72" ca="1">INDIRECT(ADDRESS(2+$AZ72,1+MATCH($AE$9,INDIRECT($AE$16&amp;"!$B$2:$R$2"),0),1,1,$AE$16))</f>
        <v>0</v>
      </c>
      <c r="BC72" s="9" cm="1">
        <f t="array" aca="1" ref="BC72" ca="1">INDIRECT(ADDRESS(2+$AZ72,1+MATCH($AE$9,INDIRECT($AE$17&amp;"!$B$2:$R$2"),0),1,1,$AE$17))</f>
        <v>0</v>
      </c>
      <c r="BD72" s="9" cm="1">
        <f t="array" aca="1" ref="BD72" ca="1">INDIRECT(ADDRESS(2+$AZ72,1+MATCH($AE$9,INDIRECT($AE$18&amp;"!$B$2:$R$2"),0),1,1,$AE$18))</f>
        <v>0</v>
      </c>
      <c r="BH72" s="9">
        <v>63</v>
      </c>
      <c r="BI72" s="11">
        <f t="shared" si="27"/>
        <v>36892.645833333183</v>
      </c>
      <c r="BJ72" s="9" t="b">
        <f t="shared" ca="1" si="7"/>
        <v>1</v>
      </c>
      <c r="BK72" s="9" t="b">
        <f t="shared" ca="1" si="8"/>
        <v>1</v>
      </c>
      <c r="BL72" s="9" t="b">
        <f t="shared" ca="1" si="9"/>
        <v>1</v>
      </c>
      <c r="BO72" s="9">
        <v>63</v>
      </c>
      <c r="BP72" s="11">
        <f t="shared" si="28"/>
        <v>36892.645833333183</v>
      </c>
      <c r="BQ72" s="9" t="str">
        <f t="shared" ca="1" si="10"/>
        <v/>
      </c>
      <c r="BR72" s="9" t="str">
        <f t="shared" ca="1" si="11"/>
        <v/>
      </c>
      <c r="BS72" s="9" t="str">
        <f t="shared" ca="1" si="12"/>
        <v/>
      </c>
      <c r="BV72" s="9">
        <v>63</v>
      </c>
      <c r="BW72" s="11">
        <f t="shared" si="29"/>
        <v>36892.645833333183</v>
      </c>
      <c r="BX72" s="9" t="str">
        <f t="shared" ca="1" si="13"/>
        <v/>
      </c>
      <c r="BY72" s="9" t="str">
        <f t="shared" ca="1" si="14"/>
        <v/>
      </c>
      <c r="BZ72" s="9" t="str">
        <f t="shared" ca="1" si="15"/>
        <v/>
      </c>
      <c r="CC72" s="9">
        <v>63</v>
      </c>
      <c r="CD72" s="11">
        <f t="shared" si="30"/>
        <v>36892.645833333183</v>
      </c>
      <c r="CE72" s="9" t="str">
        <f t="shared" ca="1" si="16"/>
        <v/>
      </c>
      <c r="CF72" s="9" t="str">
        <f t="shared" ca="1" si="17"/>
        <v/>
      </c>
      <c r="CG72" s="9" t="str">
        <f t="shared" ca="1" si="18"/>
        <v/>
      </c>
      <c r="CK72" s="12"/>
      <c r="CR72" s="12"/>
      <c r="CY72" s="12"/>
      <c r="DF72" s="12"/>
    </row>
    <row r="73" spans="38:110" ht="16.5" customHeight="1">
      <c r="AL73" s="12"/>
      <c r="AS73" s="12"/>
      <c r="AZ73" s="9">
        <v>64</v>
      </c>
      <c r="BA73" s="11">
        <f t="shared" si="26"/>
        <v>36892.656249999847</v>
      </c>
      <c r="BB73" s="9" cm="1">
        <f t="array" aca="1" ref="BB73" ca="1">INDIRECT(ADDRESS(2+$AZ73,1+MATCH($AE$9,INDIRECT($AE$16&amp;"!$B$2:$R$2"),0),1,1,$AE$16))</f>
        <v>0</v>
      </c>
      <c r="BC73" s="9" cm="1">
        <f t="array" aca="1" ref="BC73" ca="1">INDIRECT(ADDRESS(2+$AZ73,1+MATCH($AE$9,INDIRECT($AE$17&amp;"!$B$2:$R$2"),0),1,1,$AE$17))</f>
        <v>0</v>
      </c>
      <c r="BD73" s="9" cm="1">
        <f t="array" aca="1" ref="BD73" ca="1">INDIRECT(ADDRESS(2+$AZ73,1+MATCH($AE$9,INDIRECT($AE$18&amp;"!$B$2:$R$2"),0),1,1,$AE$18))</f>
        <v>0</v>
      </c>
      <c r="BH73" s="9">
        <v>64</v>
      </c>
      <c r="BI73" s="11">
        <f t="shared" si="27"/>
        <v>36892.656249999847</v>
      </c>
      <c r="BJ73" s="9" t="b">
        <f t="shared" ca="1" si="7"/>
        <v>1</v>
      </c>
      <c r="BK73" s="9" t="b">
        <f t="shared" ca="1" si="8"/>
        <v>1</v>
      </c>
      <c r="BL73" s="9" t="b">
        <f t="shared" ca="1" si="9"/>
        <v>1</v>
      </c>
      <c r="BO73" s="9">
        <v>64</v>
      </c>
      <c r="BP73" s="11">
        <f t="shared" si="28"/>
        <v>36892.656249999847</v>
      </c>
      <c r="BQ73" s="9" t="str">
        <f t="shared" ca="1" si="10"/>
        <v/>
      </c>
      <c r="BR73" s="9" t="str">
        <f t="shared" ca="1" si="11"/>
        <v/>
      </c>
      <c r="BS73" s="9" t="str">
        <f t="shared" ca="1" si="12"/>
        <v/>
      </c>
      <c r="BV73" s="9">
        <v>64</v>
      </c>
      <c r="BW73" s="11">
        <f t="shared" si="29"/>
        <v>36892.656249999847</v>
      </c>
      <c r="BX73" s="9" t="str">
        <f t="shared" ca="1" si="13"/>
        <v/>
      </c>
      <c r="BY73" s="9" t="str">
        <f t="shared" ca="1" si="14"/>
        <v/>
      </c>
      <c r="BZ73" s="9" t="str">
        <f t="shared" ca="1" si="15"/>
        <v/>
      </c>
      <c r="CC73" s="9">
        <v>64</v>
      </c>
      <c r="CD73" s="11">
        <f t="shared" si="30"/>
        <v>36892.656249999847</v>
      </c>
      <c r="CE73" s="9" t="str">
        <f t="shared" ca="1" si="16"/>
        <v/>
      </c>
      <c r="CF73" s="9" t="str">
        <f t="shared" ca="1" si="17"/>
        <v/>
      </c>
      <c r="CG73" s="9" t="str">
        <f t="shared" ca="1" si="18"/>
        <v/>
      </c>
      <c r="CK73" s="12"/>
      <c r="CR73" s="12"/>
      <c r="CY73" s="12"/>
      <c r="DF73" s="12"/>
    </row>
    <row r="74" spans="38:110" ht="16.5" customHeight="1">
      <c r="AL74" s="12"/>
      <c r="AS74" s="12"/>
      <c r="AZ74" s="9">
        <v>65</v>
      </c>
      <c r="BA74" s="11">
        <f t="shared" si="26"/>
        <v>36892.666666666511</v>
      </c>
      <c r="BB74" s="9" cm="1">
        <f t="array" aca="1" ref="BB74" ca="1">INDIRECT(ADDRESS(2+$AZ74,1+MATCH($AE$9,INDIRECT($AE$16&amp;"!$B$2:$R$2"),0),1,1,$AE$16))</f>
        <v>0</v>
      </c>
      <c r="BC74" s="9" cm="1">
        <f t="array" aca="1" ref="BC74" ca="1">INDIRECT(ADDRESS(2+$AZ74,1+MATCH($AE$9,INDIRECT($AE$17&amp;"!$B$2:$R$2"),0),1,1,$AE$17))</f>
        <v>0</v>
      </c>
      <c r="BD74" s="9" cm="1">
        <f t="array" aca="1" ref="BD74" ca="1">INDIRECT(ADDRESS(2+$AZ74,1+MATCH($AE$9,INDIRECT($AE$18&amp;"!$B$2:$R$2"),0),1,1,$AE$18))</f>
        <v>0</v>
      </c>
      <c r="BH74" s="9">
        <v>65</v>
      </c>
      <c r="BI74" s="11">
        <f t="shared" si="27"/>
        <v>36892.666666666511</v>
      </c>
      <c r="BJ74" s="9" t="b">
        <f t="shared" ca="1" si="7"/>
        <v>1</v>
      </c>
      <c r="BK74" s="9" t="b">
        <f t="shared" ca="1" si="8"/>
        <v>1</v>
      </c>
      <c r="BL74" s="9" t="b">
        <f t="shared" ca="1" si="9"/>
        <v>1</v>
      </c>
      <c r="BO74" s="9">
        <v>65</v>
      </c>
      <c r="BP74" s="11">
        <f t="shared" si="28"/>
        <v>36892.666666666511</v>
      </c>
      <c r="BQ74" s="9" t="str">
        <f t="shared" ca="1" si="10"/>
        <v/>
      </c>
      <c r="BR74" s="9" t="str">
        <f t="shared" ca="1" si="11"/>
        <v/>
      </c>
      <c r="BS74" s="9" t="str">
        <f t="shared" ca="1" si="12"/>
        <v/>
      </c>
      <c r="BV74" s="9">
        <v>65</v>
      </c>
      <c r="BW74" s="11">
        <f t="shared" si="29"/>
        <v>36892.666666666511</v>
      </c>
      <c r="BX74" s="9" t="str">
        <f t="shared" ca="1" si="13"/>
        <v/>
      </c>
      <c r="BY74" s="9" t="str">
        <f t="shared" ca="1" si="14"/>
        <v/>
      </c>
      <c r="BZ74" s="9" t="str">
        <f t="shared" ca="1" si="15"/>
        <v/>
      </c>
      <c r="CC74" s="9">
        <v>65</v>
      </c>
      <c r="CD74" s="11">
        <f t="shared" si="30"/>
        <v>36892.666666666511</v>
      </c>
      <c r="CE74" s="9" t="str">
        <f t="shared" ca="1" si="16"/>
        <v/>
      </c>
      <c r="CF74" s="9" t="str">
        <f t="shared" ca="1" si="17"/>
        <v/>
      </c>
      <c r="CG74" s="9" t="str">
        <f t="shared" ca="1" si="18"/>
        <v/>
      </c>
      <c r="CK74" s="12"/>
      <c r="CR74" s="12"/>
      <c r="CY74" s="12"/>
      <c r="DF74" s="12"/>
    </row>
    <row r="75" spans="38:110" ht="16.5" customHeight="1">
      <c r="AL75" s="12"/>
      <c r="AS75" s="12"/>
      <c r="AZ75" s="9">
        <v>66</v>
      </c>
      <c r="BA75" s="11">
        <f t="shared" si="26"/>
        <v>36892.677083333176</v>
      </c>
      <c r="BB75" s="9" cm="1">
        <f t="array" aca="1" ref="BB75" ca="1">INDIRECT(ADDRESS(2+$AZ75,1+MATCH($AE$9,INDIRECT($AE$16&amp;"!$B$2:$R$2"),0),1,1,$AE$16))</f>
        <v>0</v>
      </c>
      <c r="BC75" s="9" cm="1">
        <f t="array" aca="1" ref="BC75" ca="1">INDIRECT(ADDRESS(2+$AZ75,1+MATCH($AE$9,INDIRECT($AE$17&amp;"!$B$2:$R$2"),0),1,1,$AE$17))</f>
        <v>0</v>
      </c>
      <c r="BD75" s="9" cm="1">
        <f t="array" aca="1" ref="BD75" ca="1">INDIRECT(ADDRESS(2+$AZ75,1+MATCH($AE$9,INDIRECT($AE$18&amp;"!$B$2:$R$2"),0),1,1,$AE$18))</f>
        <v>0</v>
      </c>
      <c r="BH75" s="9">
        <v>66</v>
      </c>
      <c r="BI75" s="11">
        <f t="shared" si="27"/>
        <v>36892.677083333176</v>
      </c>
      <c r="BJ75" s="9" t="b">
        <f t="shared" ref="BJ75:BJ105" ca="1" si="185">IF($BB75=0,TRUE,"")</f>
        <v>1</v>
      </c>
      <c r="BK75" s="9" t="b">
        <f t="shared" ref="BK75:BK105" ca="1" si="186">IF($BC75=0,TRUE,"")</f>
        <v>1</v>
      </c>
      <c r="BL75" s="9" t="b">
        <f t="shared" ref="BL75:BL105" ca="1" si="187">IF($BD75=0,TRUE,"")</f>
        <v>1</v>
      </c>
      <c r="BO75" s="9">
        <v>66</v>
      </c>
      <c r="BP75" s="11">
        <f t="shared" si="28"/>
        <v>36892.677083333176</v>
      </c>
      <c r="BQ75" s="9" t="str">
        <f t="shared" ref="BQ75:BQ105" ca="1" si="188">IF($BB75=1,TRUE,"")</f>
        <v/>
      </c>
      <c r="BR75" s="9" t="str">
        <f t="shared" ref="BR75:BR105" ca="1" si="189">IF($BC75=1,TRUE,"")</f>
        <v/>
      </c>
      <c r="BS75" s="9" t="str">
        <f t="shared" ref="BS75:BS105" ca="1" si="190">IF($BD75=1,TRUE,"")</f>
        <v/>
      </c>
      <c r="BV75" s="9">
        <v>66</v>
      </c>
      <c r="BW75" s="11">
        <f t="shared" si="29"/>
        <v>36892.677083333176</v>
      </c>
      <c r="BX75" s="9" t="str">
        <f t="shared" ref="BX75:BX105" ca="1" si="191">IF($BB75=2,TRUE,"")</f>
        <v/>
      </c>
      <c r="BY75" s="9" t="str">
        <f t="shared" ref="BY75:BY105" ca="1" si="192">IF($BC75=2,TRUE,"")</f>
        <v/>
      </c>
      <c r="BZ75" s="9" t="str">
        <f t="shared" ref="BZ75:BZ105" ca="1" si="193">IF($BD75=2,TRUE,"")</f>
        <v/>
      </c>
      <c r="CC75" s="9">
        <v>66</v>
      </c>
      <c r="CD75" s="11">
        <f t="shared" si="30"/>
        <v>36892.677083333176</v>
      </c>
      <c r="CE75" s="9" t="str">
        <f t="shared" ref="CE75:CE105" ca="1" si="194">IF($BB75=3,TRUE,"")</f>
        <v/>
      </c>
      <c r="CF75" s="9" t="str">
        <f t="shared" ref="CF75:CF105" ca="1" si="195">IF($BC75=3,TRUE,"")</f>
        <v/>
      </c>
      <c r="CG75" s="9" t="str">
        <f t="shared" ref="CG75:CG105" ca="1" si="196">IF($BD75=3,TRUE,"")</f>
        <v/>
      </c>
      <c r="CK75" s="12"/>
      <c r="CR75" s="12"/>
      <c r="CY75" s="12"/>
      <c r="DF75" s="12"/>
    </row>
    <row r="76" spans="38:110" ht="16.5" customHeight="1">
      <c r="AL76" s="12"/>
      <c r="AS76" s="12"/>
      <c r="AZ76" s="9">
        <v>67</v>
      </c>
      <c r="BA76" s="11">
        <f t="shared" ref="BA76:BA105" si="197">BA75+1/24/4</f>
        <v>36892.68749999984</v>
      </c>
      <c r="BB76" s="9" cm="1">
        <f t="array" aca="1" ref="BB76" ca="1">INDIRECT(ADDRESS(2+$AZ76,1+MATCH($AE$9,INDIRECT($AE$16&amp;"!$B$2:$R$2"),0),1,1,$AE$16))</f>
        <v>0</v>
      </c>
      <c r="BC76" s="9" cm="1">
        <f t="array" aca="1" ref="BC76" ca="1">INDIRECT(ADDRESS(2+$AZ76,1+MATCH($AE$9,INDIRECT($AE$17&amp;"!$B$2:$R$2"),0),1,1,$AE$17))</f>
        <v>0</v>
      </c>
      <c r="BD76" s="9" cm="1">
        <f t="array" aca="1" ref="BD76" ca="1">INDIRECT(ADDRESS(2+$AZ76,1+MATCH($AE$9,INDIRECT($AE$18&amp;"!$B$2:$R$2"),0),1,1,$AE$18))</f>
        <v>0</v>
      </c>
      <c r="BH76" s="9">
        <v>67</v>
      </c>
      <c r="BI76" s="11">
        <f t="shared" ref="BI76:BI105" si="198">BI75+1/24/4</f>
        <v>36892.68749999984</v>
      </c>
      <c r="BJ76" s="9" t="b">
        <f t="shared" ca="1" si="185"/>
        <v>1</v>
      </c>
      <c r="BK76" s="9" t="b">
        <f t="shared" ca="1" si="186"/>
        <v>1</v>
      </c>
      <c r="BL76" s="9" t="b">
        <f t="shared" ca="1" si="187"/>
        <v>1</v>
      </c>
      <c r="BO76" s="9">
        <v>67</v>
      </c>
      <c r="BP76" s="11">
        <f t="shared" ref="BP76:BP105" si="199">BP75+1/24/4</f>
        <v>36892.68749999984</v>
      </c>
      <c r="BQ76" s="9" t="str">
        <f t="shared" ca="1" si="188"/>
        <v/>
      </c>
      <c r="BR76" s="9" t="str">
        <f t="shared" ca="1" si="189"/>
        <v/>
      </c>
      <c r="BS76" s="9" t="str">
        <f t="shared" ca="1" si="190"/>
        <v/>
      </c>
      <c r="BV76" s="9">
        <v>67</v>
      </c>
      <c r="BW76" s="11">
        <f t="shared" ref="BW76:BW105" si="200">BW75+1/24/4</f>
        <v>36892.68749999984</v>
      </c>
      <c r="BX76" s="9" t="str">
        <f t="shared" ca="1" si="191"/>
        <v/>
      </c>
      <c r="BY76" s="9" t="str">
        <f t="shared" ca="1" si="192"/>
        <v/>
      </c>
      <c r="BZ76" s="9" t="str">
        <f t="shared" ca="1" si="193"/>
        <v/>
      </c>
      <c r="CC76" s="9">
        <v>67</v>
      </c>
      <c r="CD76" s="11">
        <f t="shared" ref="CD76:CD105" si="201">CD75+1/24/4</f>
        <v>36892.68749999984</v>
      </c>
      <c r="CE76" s="9" t="str">
        <f t="shared" ca="1" si="194"/>
        <v/>
      </c>
      <c r="CF76" s="9" t="str">
        <f t="shared" ca="1" si="195"/>
        <v/>
      </c>
      <c r="CG76" s="9" t="str">
        <f t="shared" ca="1" si="196"/>
        <v/>
      </c>
      <c r="CK76" s="12"/>
      <c r="CR76" s="12"/>
      <c r="CY76" s="12"/>
      <c r="DF76" s="12"/>
    </row>
    <row r="77" spans="38:110" ht="16.5" customHeight="1">
      <c r="AL77" s="12"/>
      <c r="AS77" s="12"/>
      <c r="AZ77" s="9">
        <v>68</v>
      </c>
      <c r="BA77" s="11">
        <f t="shared" si="197"/>
        <v>36892.697916666504</v>
      </c>
      <c r="BB77" s="9" cm="1">
        <f t="array" aca="1" ref="BB77" ca="1">INDIRECT(ADDRESS(2+$AZ77,1+MATCH($AE$9,INDIRECT($AE$16&amp;"!$B$2:$R$2"),0),1,1,$AE$16))</f>
        <v>0</v>
      </c>
      <c r="BC77" s="9" cm="1">
        <f t="array" aca="1" ref="BC77" ca="1">INDIRECT(ADDRESS(2+$AZ77,1+MATCH($AE$9,INDIRECT($AE$17&amp;"!$B$2:$R$2"),0),1,1,$AE$17))</f>
        <v>0</v>
      </c>
      <c r="BD77" s="9" cm="1">
        <f t="array" aca="1" ref="BD77" ca="1">INDIRECT(ADDRESS(2+$AZ77,1+MATCH($AE$9,INDIRECT($AE$18&amp;"!$B$2:$R$2"),0),1,1,$AE$18))</f>
        <v>0</v>
      </c>
      <c r="BH77" s="9">
        <v>68</v>
      </c>
      <c r="BI77" s="11">
        <f t="shared" si="198"/>
        <v>36892.697916666504</v>
      </c>
      <c r="BJ77" s="9" t="b">
        <f t="shared" ca="1" si="185"/>
        <v>1</v>
      </c>
      <c r="BK77" s="9" t="b">
        <f t="shared" ca="1" si="186"/>
        <v>1</v>
      </c>
      <c r="BL77" s="9" t="b">
        <f t="shared" ca="1" si="187"/>
        <v>1</v>
      </c>
      <c r="BO77" s="9">
        <v>68</v>
      </c>
      <c r="BP77" s="11">
        <f t="shared" si="199"/>
        <v>36892.697916666504</v>
      </c>
      <c r="BQ77" s="9" t="str">
        <f t="shared" ca="1" si="188"/>
        <v/>
      </c>
      <c r="BR77" s="9" t="str">
        <f t="shared" ca="1" si="189"/>
        <v/>
      </c>
      <c r="BS77" s="9" t="str">
        <f t="shared" ca="1" si="190"/>
        <v/>
      </c>
      <c r="BV77" s="9">
        <v>68</v>
      </c>
      <c r="BW77" s="11">
        <f t="shared" si="200"/>
        <v>36892.697916666504</v>
      </c>
      <c r="BX77" s="9" t="str">
        <f t="shared" ca="1" si="191"/>
        <v/>
      </c>
      <c r="BY77" s="9" t="str">
        <f t="shared" ca="1" si="192"/>
        <v/>
      </c>
      <c r="BZ77" s="9" t="str">
        <f t="shared" ca="1" si="193"/>
        <v/>
      </c>
      <c r="CC77" s="9">
        <v>68</v>
      </c>
      <c r="CD77" s="11">
        <f t="shared" si="201"/>
        <v>36892.697916666504</v>
      </c>
      <c r="CE77" s="9" t="str">
        <f t="shared" ca="1" si="194"/>
        <v/>
      </c>
      <c r="CF77" s="9" t="str">
        <f t="shared" ca="1" si="195"/>
        <v/>
      </c>
      <c r="CG77" s="9" t="str">
        <f t="shared" ca="1" si="196"/>
        <v/>
      </c>
      <c r="CK77" s="12"/>
      <c r="CR77" s="12"/>
      <c r="CY77" s="12"/>
      <c r="DF77" s="12"/>
    </row>
    <row r="78" spans="38:110" ht="16.5" customHeight="1">
      <c r="AL78" s="12"/>
      <c r="AS78" s="12"/>
      <c r="AZ78" s="9">
        <v>69</v>
      </c>
      <c r="BA78" s="11">
        <f t="shared" si="197"/>
        <v>36892.708333333168</v>
      </c>
      <c r="BB78" s="9" cm="1">
        <f t="array" aca="1" ref="BB78" ca="1">INDIRECT(ADDRESS(2+$AZ78,1+MATCH($AE$9,INDIRECT($AE$16&amp;"!$B$2:$R$2"),0),1,1,$AE$16))</f>
        <v>0</v>
      </c>
      <c r="BC78" s="9" cm="1">
        <f t="array" aca="1" ref="BC78" ca="1">INDIRECT(ADDRESS(2+$AZ78,1+MATCH($AE$9,INDIRECT($AE$17&amp;"!$B$2:$R$2"),0),1,1,$AE$17))</f>
        <v>0</v>
      </c>
      <c r="BD78" s="9" cm="1">
        <f t="array" aca="1" ref="BD78" ca="1">INDIRECT(ADDRESS(2+$AZ78,1+MATCH($AE$9,INDIRECT($AE$18&amp;"!$B$2:$R$2"),0),1,1,$AE$18))</f>
        <v>0</v>
      </c>
      <c r="BH78" s="9">
        <v>69</v>
      </c>
      <c r="BI78" s="11">
        <f t="shared" si="198"/>
        <v>36892.708333333168</v>
      </c>
      <c r="BJ78" s="9" t="b">
        <f t="shared" ca="1" si="185"/>
        <v>1</v>
      </c>
      <c r="BK78" s="9" t="b">
        <f t="shared" ca="1" si="186"/>
        <v>1</v>
      </c>
      <c r="BL78" s="9" t="b">
        <f t="shared" ca="1" si="187"/>
        <v>1</v>
      </c>
      <c r="BO78" s="9">
        <v>69</v>
      </c>
      <c r="BP78" s="11">
        <f t="shared" si="199"/>
        <v>36892.708333333168</v>
      </c>
      <c r="BQ78" s="9" t="str">
        <f t="shared" ca="1" si="188"/>
        <v/>
      </c>
      <c r="BR78" s="9" t="str">
        <f t="shared" ca="1" si="189"/>
        <v/>
      </c>
      <c r="BS78" s="9" t="str">
        <f t="shared" ca="1" si="190"/>
        <v/>
      </c>
      <c r="BV78" s="9">
        <v>69</v>
      </c>
      <c r="BW78" s="11">
        <f t="shared" si="200"/>
        <v>36892.708333333168</v>
      </c>
      <c r="BX78" s="9" t="str">
        <f t="shared" ca="1" si="191"/>
        <v/>
      </c>
      <c r="BY78" s="9" t="str">
        <f t="shared" ca="1" si="192"/>
        <v/>
      </c>
      <c r="BZ78" s="9" t="str">
        <f t="shared" ca="1" si="193"/>
        <v/>
      </c>
      <c r="CC78" s="9">
        <v>69</v>
      </c>
      <c r="CD78" s="11">
        <f t="shared" si="201"/>
        <v>36892.708333333168</v>
      </c>
      <c r="CE78" s="9" t="str">
        <f t="shared" ca="1" si="194"/>
        <v/>
      </c>
      <c r="CF78" s="9" t="str">
        <f t="shared" ca="1" si="195"/>
        <v/>
      </c>
      <c r="CG78" s="9" t="str">
        <f t="shared" ca="1" si="196"/>
        <v/>
      </c>
      <c r="CK78" s="12"/>
      <c r="CR78" s="12"/>
      <c r="CY78" s="12"/>
      <c r="DF78" s="12"/>
    </row>
    <row r="79" spans="38:110" ht="16.5" customHeight="1">
      <c r="AL79" s="12"/>
      <c r="AS79" s="12"/>
      <c r="AZ79" s="9">
        <v>70</v>
      </c>
      <c r="BA79" s="11">
        <f t="shared" si="197"/>
        <v>36892.718749999833</v>
      </c>
      <c r="BB79" s="9" cm="1">
        <f t="array" aca="1" ref="BB79" ca="1">INDIRECT(ADDRESS(2+$AZ79,1+MATCH($AE$9,INDIRECT($AE$16&amp;"!$B$2:$R$2"),0),1,1,$AE$16))</f>
        <v>0</v>
      </c>
      <c r="BC79" s="9" cm="1">
        <f t="array" aca="1" ref="BC79" ca="1">INDIRECT(ADDRESS(2+$AZ79,1+MATCH($AE$9,INDIRECT($AE$17&amp;"!$B$2:$R$2"),0),1,1,$AE$17))</f>
        <v>0</v>
      </c>
      <c r="BD79" s="9" cm="1">
        <f t="array" aca="1" ref="BD79" ca="1">INDIRECT(ADDRESS(2+$AZ79,1+MATCH($AE$9,INDIRECT($AE$18&amp;"!$B$2:$R$2"),0),1,1,$AE$18))</f>
        <v>0</v>
      </c>
      <c r="BH79" s="9">
        <v>70</v>
      </c>
      <c r="BI79" s="11">
        <f t="shared" si="198"/>
        <v>36892.718749999833</v>
      </c>
      <c r="BJ79" s="9" t="b">
        <f t="shared" ca="1" si="185"/>
        <v>1</v>
      </c>
      <c r="BK79" s="9" t="b">
        <f t="shared" ca="1" si="186"/>
        <v>1</v>
      </c>
      <c r="BL79" s="9" t="b">
        <f t="shared" ca="1" si="187"/>
        <v>1</v>
      </c>
      <c r="BO79" s="9">
        <v>70</v>
      </c>
      <c r="BP79" s="11">
        <f t="shared" si="199"/>
        <v>36892.718749999833</v>
      </c>
      <c r="BQ79" s="9" t="str">
        <f t="shared" ca="1" si="188"/>
        <v/>
      </c>
      <c r="BR79" s="9" t="str">
        <f t="shared" ca="1" si="189"/>
        <v/>
      </c>
      <c r="BS79" s="9" t="str">
        <f t="shared" ca="1" si="190"/>
        <v/>
      </c>
      <c r="BV79" s="9">
        <v>70</v>
      </c>
      <c r="BW79" s="11">
        <f t="shared" si="200"/>
        <v>36892.718749999833</v>
      </c>
      <c r="BX79" s="9" t="str">
        <f t="shared" ca="1" si="191"/>
        <v/>
      </c>
      <c r="BY79" s="9" t="str">
        <f t="shared" ca="1" si="192"/>
        <v/>
      </c>
      <c r="BZ79" s="9" t="str">
        <f t="shared" ca="1" si="193"/>
        <v/>
      </c>
      <c r="CC79" s="9">
        <v>70</v>
      </c>
      <c r="CD79" s="11">
        <f t="shared" si="201"/>
        <v>36892.718749999833</v>
      </c>
      <c r="CE79" s="9" t="str">
        <f t="shared" ca="1" si="194"/>
        <v/>
      </c>
      <c r="CF79" s="9" t="str">
        <f t="shared" ca="1" si="195"/>
        <v/>
      </c>
      <c r="CG79" s="9" t="str">
        <f t="shared" ca="1" si="196"/>
        <v/>
      </c>
      <c r="CK79" s="12"/>
      <c r="CR79" s="12"/>
      <c r="CY79" s="12"/>
      <c r="DF79" s="12"/>
    </row>
    <row r="80" spans="38:110" ht="16.5" customHeight="1">
      <c r="AL80" s="12"/>
      <c r="AS80" s="12"/>
      <c r="AZ80" s="9">
        <v>71</v>
      </c>
      <c r="BA80" s="11">
        <f t="shared" si="197"/>
        <v>36892.729166666497</v>
      </c>
      <c r="BB80" s="9" cm="1">
        <f t="array" aca="1" ref="BB80" ca="1">INDIRECT(ADDRESS(2+$AZ80,1+MATCH($AE$9,INDIRECT($AE$16&amp;"!$B$2:$R$2"),0),1,1,$AE$16))</f>
        <v>0</v>
      </c>
      <c r="BC80" s="9" cm="1">
        <f t="array" aca="1" ref="BC80" ca="1">INDIRECT(ADDRESS(2+$AZ80,1+MATCH($AE$9,INDIRECT($AE$17&amp;"!$B$2:$R$2"),0),1,1,$AE$17))</f>
        <v>0</v>
      </c>
      <c r="BD80" s="9" cm="1">
        <f t="array" aca="1" ref="BD80" ca="1">INDIRECT(ADDRESS(2+$AZ80,1+MATCH($AE$9,INDIRECT($AE$18&amp;"!$B$2:$R$2"),0),1,1,$AE$18))</f>
        <v>0</v>
      </c>
      <c r="BH80" s="9">
        <v>71</v>
      </c>
      <c r="BI80" s="11">
        <f t="shared" si="198"/>
        <v>36892.729166666497</v>
      </c>
      <c r="BJ80" s="9" t="b">
        <f t="shared" ca="1" si="185"/>
        <v>1</v>
      </c>
      <c r="BK80" s="9" t="b">
        <f t="shared" ca="1" si="186"/>
        <v>1</v>
      </c>
      <c r="BL80" s="9" t="b">
        <f t="shared" ca="1" si="187"/>
        <v>1</v>
      </c>
      <c r="BO80" s="9">
        <v>71</v>
      </c>
      <c r="BP80" s="11">
        <f t="shared" si="199"/>
        <v>36892.729166666497</v>
      </c>
      <c r="BQ80" s="9" t="str">
        <f t="shared" ca="1" si="188"/>
        <v/>
      </c>
      <c r="BR80" s="9" t="str">
        <f t="shared" ca="1" si="189"/>
        <v/>
      </c>
      <c r="BS80" s="9" t="str">
        <f t="shared" ca="1" si="190"/>
        <v/>
      </c>
      <c r="BV80" s="9">
        <v>71</v>
      </c>
      <c r="BW80" s="11">
        <f t="shared" si="200"/>
        <v>36892.729166666497</v>
      </c>
      <c r="BX80" s="9" t="str">
        <f t="shared" ca="1" si="191"/>
        <v/>
      </c>
      <c r="BY80" s="9" t="str">
        <f t="shared" ca="1" si="192"/>
        <v/>
      </c>
      <c r="BZ80" s="9" t="str">
        <f t="shared" ca="1" si="193"/>
        <v/>
      </c>
      <c r="CC80" s="9">
        <v>71</v>
      </c>
      <c r="CD80" s="11">
        <f t="shared" si="201"/>
        <v>36892.729166666497</v>
      </c>
      <c r="CE80" s="9" t="str">
        <f t="shared" ca="1" si="194"/>
        <v/>
      </c>
      <c r="CF80" s="9" t="str">
        <f t="shared" ca="1" si="195"/>
        <v/>
      </c>
      <c r="CG80" s="9" t="str">
        <f t="shared" ca="1" si="196"/>
        <v/>
      </c>
      <c r="CK80" s="12"/>
      <c r="CR80" s="12"/>
      <c r="CY80" s="12"/>
      <c r="DF80" s="12"/>
    </row>
    <row r="81" spans="38:110" ht="16.5" customHeight="1">
      <c r="AL81" s="12"/>
      <c r="AS81" s="12"/>
      <c r="AZ81" s="9">
        <v>72</v>
      </c>
      <c r="BA81" s="11">
        <f t="shared" si="197"/>
        <v>36892.739583333161</v>
      </c>
      <c r="BB81" s="9" cm="1">
        <f t="array" aca="1" ref="BB81" ca="1">INDIRECT(ADDRESS(2+$AZ81,1+MATCH($AE$9,INDIRECT($AE$16&amp;"!$B$2:$R$2"),0),1,1,$AE$16))</f>
        <v>0</v>
      </c>
      <c r="BC81" s="9" cm="1">
        <f t="array" aca="1" ref="BC81" ca="1">INDIRECT(ADDRESS(2+$AZ81,1+MATCH($AE$9,INDIRECT($AE$17&amp;"!$B$2:$R$2"),0),1,1,$AE$17))</f>
        <v>0</v>
      </c>
      <c r="BD81" s="9" cm="1">
        <f t="array" aca="1" ref="BD81" ca="1">INDIRECT(ADDRESS(2+$AZ81,1+MATCH($AE$9,INDIRECT($AE$18&amp;"!$B$2:$R$2"),0),1,1,$AE$18))</f>
        <v>0</v>
      </c>
      <c r="BH81" s="9">
        <v>72</v>
      </c>
      <c r="BI81" s="11">
        <f t="shared" si="198"/>
        <v>36892.739583333161</v>
      </c>
      <c r="BJ81" s="9" t="b">
        <f t="shared" ca="1" si="185"/>
        <v>1</v>
      </c>
      <c r="BK81" s="9" t="b">
        <f t="shared" ca="1" si="186"/>
        <v>1</v>
      </c>
      <c r="BL81" s="9" t="b">
        <f t="shared" ca="1" si="187"/>
        <v>1</v>
      </c>
      <c r="BO81" s="9">
        <v>72</v>
      </c>
      <c r="BP81" s="11">
        <f t="shared" si="199"/>
        <v>36892.739583333161</v>
      </c>
      <c r="BQ81" s="9" t="str">
        <f t="shared" ca="1" si="188"/>
        <v/>
      </c>
      <c r="BR81" s="9" t="str">
        <f t="shared" ca="1" si="189"/>
        <v/>
      </c>
      <c r="BS81" s="9" t="str">
        <f t="shared" ca="1" si="190"/>
        <v/>
      </c>
      <c r="BV81" s="9">
        <v>72</v>
      </c>
      <c r="BW81" s="11">
        <f t="shared" si="200"/>
        <v>36892.739583333161</v>
      </c>
      <c r="BX81" s="9" t="str">
        <f t="shared" ca="1" si="191"/>
        <v/>
      </c>
      <c r="BY81" s="9" t="str">
        <f t="shared" ca="1" si="192"/>
        <v/>
      </c>
      <c r="BZ81" s="9" t="str">
        <f t="shared" ca="1" si="193"/>
        <v/>
      </c>
      <c r="CC81" s="9">
        <v>72</v>
      </c>
      <c r="CD81" s="11">
        <f t="shared" si="201"/>
        <v>36892.739583333161</v>
      </c>
      <c r="CE81" s="9" t="str">
        <f t="shared" ca="1" si="194"/>
        <v/>
      </c>
      <c r="CF81" s="9" t="str">
        <f t="shared" ca="1" si="195"/>
        <v/>
      </c>
      <c r="CG81" s="9" t="str">
        <f t="shared" ca="1" si="196"/>
        <v/>
      </c>
      <c r="CK81" s="12"/>
      <c r="CR81" s="12"/>
      <c r="CY81" s="12"/>
      <c r="DF81" s="12"/>
    </row>
    <row r="82" spans="38:110" ht="16.5" customHeight="1">
      <c r="AL82" s="12"/>
      <c r="AS82" s="12"/>
      <c r="AZ82" s="9">
        <v>73</v>
      </c>
      <c r="BA82" s="11">
        <f t="shared" si="197"/>
        <v>36892.749999999825</v>
      </c>
      <c r="BB82" s="9" cm="1">
        <f t="array" aca="1" ref="BB82" ca="1">INDIRECT(ADDRESS(2+$AZ82,1+MATCH($AE$9,INDIRECT($AE$16&amp;"!$B$2:$R$2"),0),1,1,$AE$16))</f>
        <v>0</v>
      </c>
      <c r="BC82" s="9" cm="1">
        <f t="array" aca="1" ref="BC82" ca="1">INDIRECT(ADDRESS(2+$AZ82,1+MATCH($AE$9,INDIRECT($AE$17&amp;"!$B$2:$R$2"),0),1,1,$AE$17))</f>
        <v>0</v>
      </c>
      <c r="BD82" s="9" cm="1">
        <f t="array" aca="1" ref="BD82" ca="1">INDIRECT(ADDRESS(2+$AZ82,1+MATCH($AE$9,INDIRECT($AE$18&amp;"!$B$2:$R$2"),0),1,1,$AE$18))</f>
        <v>0</v>
      </c>
      <c r="BH82" s="9">
        <v>73</v>
      </c>
      <c r="BI82" s="11">
        <f t="shared" si="198"/>
        <v>36892.749999999825</v>
      </c>
      <c r="BJ82" s="9" t="b">
        <f t="shared" ca="1" si="185"/>
        <v>1</v>
      </c>
      <c r="BK82" s="9" t="b">
        <f t="shared" ca="1" si="186"/>
        <v>1</v>
      </c>
      <c r="BL82" s="9" t="b">
        <f t="shared" ca="1" si="187"/>
        <v>1</v>
      </c>
      <c r="BO82" s="9">
        <v>73</v>
      </c>
      <c r="BP82" s="11">
        <f t="shared" si="199"/>
        <v>36892.749999999825</v>
      </c>
      <c r="BQ82" s="9" t="str">
        <f t="shared" ca="1" si="188"/>
        <v/>
      </c>
      <c r="BR82" s="9" t="str">
        <f t="shared" ca="1" si="189"/>
        <v/>
      </c>
      <c r="BS82" s="9" t="str">
        <f t="shared" ca="1" si="190"/>
        <v/>
      </c>
      <c r="BV82" s="9">
        <v>73</v>
      </c>
      <c r="BW82" s="11">
        <f t="shared" si="200"/>
        <v>36892.749999999825</v>
      </c>
      <c r="BX82" s="9" t="str">
        <f t="shared" ca="1" si="191"/>
        <v/>
      </c>
      <c r="BY82" s="9" t="str">
        <f t="shared" ca="1" si="192"/>
        <v/>
      </c>
      <c r="BZ82" s="9" t="str">
        <f t="shared" ca="1" si="193"/>
        <v/>
      </c>
      <c r="CC82" s="9">
        <v>73</v>
      </c>
      <c r="CD82" s="11">
        <f t="shared" si="201"/>
        <v>36892.749999999825</v>
      </c>
      <c r="CE82" s="9" t="str">
        <f t="shared" ca="1" si="194"/>
        <v/>
      </c>
      <c r="CF82" s="9" t="str">
        <f t="shared" ca="1" si="195"/>
        <v/>
      </c>
      <c r="CG82" s="9" t="str">
        <f t="shared" ca="1" si="196"/>
        <v/>
      </c>
      <c r="CK82" s="12"/>
      <c r="CR82" s="12"/>
      <c r="CY82" s="12"/>
      <c r="DF82" s="12"/>
    </row>
    <row r="83" spans="38:110" ht="16.5" customHeight="1">
      <c r="AL83" s="12"/>
      <c r="AS83" s="12"/>
      <c r="AZ83" s="9">
        <v>74</v>
      </c>
      <c r="BA83" s="11">
        <f t="shared" si="197"/>
        <v>36892.76041666649</v>
      </c>
      <c r="BB83" s="9" cm="1">
        <f t="array" aca="1" ref="BB83" ca="1">INDIRECT(ADDRESS(2+$AZ83,1+MATCH($AE$9,INDIRECT($AE$16&amp;"!$B$2:$R$2"),0),1,1,$AE$16))</f>
        <v>0</v>
      </c>
      <c r="BC83" s="9" cm="1">
        <f t="array" aca="1" ref="BC83" ca="1">INDIRECT(ADDRESS(2+$AZ83,1+MATCH($AE$9,INDIRECT($AE$17&amp;"!$B$2:$R$2"),0),1,1,$AE$17))</f>
        <v>0</v>
      </c>
      <c r="BD83" s="9" cm="1">
        <f t="array" aca="1" ref="BD83" ca="1">INDIRECT(ADDRESS(2+$AZ83,1+MATCH($AE$9,INDIRECT($AE$18&amp;"!$B$2:$R$2"),0),1,1,$AE$18))</f>
        <v>0</v>
      </c>
      <c r="BH83" s="9">
        <v>74</v>
      </c>
      <c r="BI83" s="11">
        <f t="shared" si="198"/>
        <v>36892.76041666649</v>
      </c>
      <c r="BJ83" s="9" t="b">
        <f t="shared" ca="1" si="185"/>
        <v>1</v>
      </c>
      <c r="BK83" s="9" t="b">
        <f t="shared" ca="1" si="186"/>
        <v>1</v>
      </c>
      <c r="BL83" s="9" t="b">
        <f t="shared" ca="1" si="187"/>
        <v>1</v>
      </c>
      <c r="BO83" s="9">
        <v>74</v>
      </c>
      <c r="BP83" s="11">
        <f t="shared" si="199"/>
        <v>36892.76041666649</v>
      </c>
      <c r="BQ83" s="9" t="str">
        <f t="shared" ca="1" si="188"/>
        <v/>
      </c>
      <c r="BR83" s="9" t="str">
        <f t="shared" ca="1" si="189"/>
        <v/>
      </c>
      <c r="BS83" s="9" t="str">
        <f t="shared" ca="1" si="190"/>
        <v/>
      </c>
      <c r="BV83" s="9">
        <v>74</v>
      </c>
      <c r="BW83" s="11">
        <f t="shared" si="200"/>
        <v>36892.76041666649</v>
      </c>
      <c r="BX83" s="9" t="str">
        <f t="shared" ca="1" si="191"/>
        <v/>
      </c>
      <c r="BY83" s="9" t="str">
        <f t="shared" ca="1" si="192"/>
        <v/>
      </c>
      <c r="BZ83" s="9" t="str">
        <f t="shared" ca="1" si="193"/>
        <v/>
      </c>
      <c r="CC83" s="9">
        <v>74</v>
      </c>
      <c r="CD83" s="11">
        <f t="shared" si="201"/>
        <v>36892.76041666649</v>
      </c>
      <c r="CE83" s="9" t="str">
        <f t="shared" ca="1" si="194"/>
        <v/>
      </c>
      <c r="CF83" s="9" t="str">
        <f t="shared" ca="1" si="195"/>
        <v/>
      </c>
      <c r="CG83" s="9" t="str">
        <f t="shared" ca="1" si="196"/>
        <v/>
      </c>
      <c r="CK83" s="12"/>
      <c r="CR83" s="12"/>
      <c r="CY83" s="12"/>
      <c r="DF83" s="12"/>
    </row>
    <row r="84" spans="38:110" ht="16.5" customHeight="1">
      <c r="AL84" s="12"/>
      <c r="AS84" s="12"/>
      <c r="AZ84" s="9">
        <v>75</v>
      </c>
      <c r="BA84" s="11">
        <f t="shared" si="197"/>
        <v>36892.770833333154</v>
      </c>
      <c r="BB84" s="9" cm="1">
        <f t="array" aca="1" ref="BB84" ca="1">INDIRECT(ADDRESS(2+$AZ84,1+MATCH($AE$9,INDIRECT($AE$16&amp;"!$B$2:$R$2"),0),1,1,$AE$16))</f>
        <v>0</v>
      </c>
      <c r="BC84" s="9" cm="1">
        <f t="array" aca="1" ref="BC84" ca="1">INDIRECT(ADDRESS(2+$AZ84,1+MATCH($AE$9,INDIRECT($AE$17&amp;"!$B$2:$R$2"),0),1,1,$AE$17))</f>
        <v>0</v>
      </c>
      <c r="BD84" s="9" cm="1">
        <f t="array" aca="1" ref="BD84" ca="1">INDIRECT(ADDRESS(2+$AZ84,1+MATCH($AE$9,INDIRECT($AE$18&amp;"!$B$2:$R$2"),0),1,1,$AE$18))</f>
        <v>0</v>
      </c>
      <c r="BH84" s="9">
        <v>75</v>
      </c>
      <c r="BI84" s="11">
        <f t="shared" si="198"/>
        <v>36892.770833333154</v>
      </c>
      <c r="BJ84" s="9" t="b">
        <f t="shared" ca="1" si="185"/>
        <v>1</v>
      </c>
      <c r="BK84" s="9" t="b">
        <f t="shared" ca="1" si="186"/>
        <v>1</v>
      </c>
      <c r="BL84" s="9" t="b">
        <f t="shared" ca="1" si="187"/>
        <v>1</v>
      </c>
      <c r="BO84" s="9">
        <v>75</v>
      </c>
      <c r="BP84" s="11">
        <f t="shared" si="199"/>
        <v>36892.770833333154</v>
      </c>
      <c r="BQ84" s="9" t="str">
        <f t="shared" ca="1" si="188"/>
        <v/>
      </c>
      <c r="BR84" s="9" t="str">
        <f t="shared" ca="1" si="189"/>
        <v/>
      </c>
      <c r="BS84" s="9" t="str">
        <f t="shared" ca="1" si="190"/>
        <v/>
      </c>
      <c r="BV84" s="9">
        <v>75</v>
      </c>
      <c r="BW84" s="11">
        <f t="shared" si="200"/>
        <v>36892.770833333154</v>
      </c>
      <c r="BX84" s="9" t="str">
        <f t="shared" ca="1" si="191"/>
        <v/>
      </c>
      <c r="BY84" s="9" t="str">
        <f t="shared" ca="1" si="192"/>
        <v/>
      </c>
      <c r="BZ84" s="9" t="str">
        <f t="shared" ca="1" si="193"/>
        <v/>
      </c>
      <c r="CC84" s="9">
        <v>75</v>
      </c>
      <c r="CD84" s="11">
        <f t="shared" si="201"/>
        <v>36892.770833333154</v>
      </c>
      <c r="CE84" s="9" t="str">
        <f t="shared" ca="1" si="194"/>
        <v/>
      </c>
      <c r="CF84" s="9" t="str">
        <f t="shared" ca="1" si="195"/>
        <v/>
      </c>
      <c r="CG84" s="9" t="str">
        <f t="shared" ca="1" si="196"/>
        <v/>
      </c>
      <c r="CK84" s="12"/>
      <c r="CR84" s="12"/>
      <c r="CY84" s="12"/>
      <c r="DF84" s="12"/>
    </row>
    <row r="85" spans="38:110" ht="16.5" customHeight="1">
      <c r="AL85" s="12"/>
      <c r="AS85" s="12"/>
      <c r="AZ85" s="9">
        <v>76</v>
      </c>
      <c r="BA85" s="11">
        <f t="shared" si="197"/>
        <v>36892.781249999818</v>
      </c>
      <c r="BB85" s="9" cm="1">
        <f t="array" aca="1" ref="BB85" ca="1">INDIRECT(ADDRESS(2+$AZ85,1+MATCH($AE$9,INDIRECT($AE$16&amp;"!$B$2:$R$2"),0),1,1,$AE$16))</f>
        <v>0</v>
      </c>
      <c r="BC85" s="9" cm="1">
        <f t="array" aca="1" ref="BC85" ca="1">INDIRECT(ADDRESS(2+$AZ85,1+MATCH($AE$9,INDIRECT($AE$17&amp;"!$B$2:$R$2"),0),1,1,$AE$17))</f>
        <v>0</v>
      </c>
      <c r="BD85" s="9" cm="1">
        <f t="array" aca="1" ref="BD85" ca="1">INDIRECT(ADDRESS(2+$AZ85,1+MATCH($AE$9,INDIRECT($AE$18&amp;"!$B$2:$R$2"),0),1,1,$AE$18))</f>
        <v>0</v>
      </c>
      <c r="BH85" s="9">
        <v>76</v>
      </c>
      <c r="BI85" s="11">
        <f t="shared" si="198"/>
        <v>36892.781249999818</v>
      </c>
      <c r="BJ85" s="9" t="b">
        <f t="shared" ca="1" si="185"/>
        <v>1</v>
      </c>
      <c r="BK85" s="9" t="b">
        <f t="shared" ca="1" si="186"/>
        <v>1</v>
      </c>
      <c r="BL85" s="9" t="b">
        <f t="shared" ca="1" si="187"/>
        <v>1</v>
      </c>
      <c r="BO85" s="9">
        <v>76</v>
      </c>
      <c r="BP85" s="11">
        <f t="shared" si="199"/>
        <v>36892.781249999818</v>
      </c>
      <c r="BQ85" s="9" t="str">
        <f t="shared" ca="1" si="188"/>
        <v/>
      </c>
      <c r="BR85" s="9" t="str">
        <f t="shared" ca="1" si="189"/>
        <v/>
      </c>
      <c r="BS85" s="9" t="str">
        <f t="shared" ca="1" si="190"/>
        <v/>
      </c>
      <c r="BV85" s="9">
        <v>76</v>
      </c>
      <c r="BW85" s="11">
        <f t="shared" si="200"/>
        <v>36892.781249999818</v>
      </c>
      <c r="BX85" s="9" t="str">
        <f t="shared" ca="1" si="191"/>
        <v/>
      </c>
      <c r="BY85" s="9" t="str">
        <f t="shared" ca="1" si="192"/>
        <v/>
      </c>
      <c r="BZ85" s="9" t="str">
        <f t="shared" ca="1" si="193"/>
        <v/>
      </c>
      <c r="CC85" s="9">
        <v>76</v>
      </c>
      <c r="CD85" s="11">
        <f t="shared" si="201"/>
        <v>36892.781249999818</v>
      </c>
      <c r="CE85" s="9" t="str">
        <f t="shared" ca="1" si="194"/>
        <v/>
      </c>
      <c r="CF85" s="9" t="str">
        <f t="shared" ca="1" si="195"/>
        <v/>
      </c>
      <c r="CG85" s="9" t="str">
        <f t="shared" ca="1" si="196"/>
        <v/>
      </c>
      <c r="CK85" s="12"/>
      <c r="CR85" s="12"/>
      <c r="CY85" s="12"/>
      <c r="DF85" s="12"/>
    </row>
    <row r="86" spans="38:110" ht="16.5" customHeight="1">
      <c r="AL86" s="12"/>
      <c r="AS86" s="12"/>
      <c r="AZ86" s="9">
        <v>77</v>
      </c>
      <c r="BA86" s="11">
        <f t="shared" si="197"/>
        <v>36892.791666666482</v>
      </c>
      <c r="BB86" s="9" cm="1">
        <f t="array" aca="1" ref="BB86" ca="1">INDIRECT(ADDRESS(2+$AZ86,1+MATCH($AE$9,INDIRECT($AE$16&amp;"!$B$2:$R$2"),0),1,1,$AE$16))</f>
        <v>0</v>
      </c>
      <c r="BC86" s="9" cm="1">
        <f t="array" aca="1" ref="BC86" ca="1">INDIRECT(ADDRESS(2+$AZ86,1+MATCH($AE$9,INDIRECT($AE$17&amp;"!$B$2:$R$2"),0),1,1,$AE$17))</f>
        <v>0</v>
      </c>
      <c r="BD86" s="9" cm="1">
        <f t="array" aca="1" ref="BD86" ca="1">INDIRECT(ADDRESS(2+$AZ86,1+MATCH($AE$9,INDIRECT($AE$18&amp;"!$B$2:$R$2"),0),1,1,$AE$18))</f>
        <v>0</v>
      </c>
      <c r="BH86" s="9">
        <v>77</v>
      </c>
      <c r="BI86" s="11">
        <f t="shared" si="198"/>
        <v>36892.791666666482</v>
      </c>
      <c r="BJ86" s="9" t="b">
        <f t="shared" ca="1" si="185"/>
        <v>1</v>
      </c>
      <c r="BK86" s="9" t="b">
        <f t="shared" ca="1" si="186"/>
        <v>1</v>
      </c>
      <c r="BL86" s="9" t="b">
        <f t="shared" ca="1" si="187"/>
        <v>1</v>
      </c>
      <c r="BO86" s="9">
        <v>77</v>
      </c>
      <c r="BP86" s="11">
        <f t="shared" si="199"/>
        <v>36892.791666666482</v>
      </c>
      <c r="BQ86" s="9" t="str">
        <f t="shared" ca="1" si="188"/>
        <v/>
      </c>
      <c r="BR86" s="9" t="str">
        <f t="shared" ca="1" si="189"/>
        <v/>
      </c>
      <c r="BS86" s="9" t="str">
        <f t="shared" ca="1" si="190"/>
        <v/>
      </c>
      <c r="BV86" s="9">
        <v>77</v>
      </c>
      <c r="BW86" s="11">
        <f t="shared" si="200"/>
        <v>36892.791666666482</v>
      </c>
      <c r="BX86" s="9" t="str">
        <f t="shared" ca="1" si="191"/>
        <v/>
      </c>
      <c r="BY86" s="9" t="str">
        <f t="shared" ca="1" si="192"/>
        <v/>
      </c>
      <c r="BZ86" s="9" t="str">
        <f t="shared" ca="1" si="193"/>
        <v/>
      </c>
      <c r="CC86" s="9">
        <v>77</v>
      </c>
      <c r="CD86" s="11">
        <f t="shared" si="201"/>
        <v>36892.791666666482</v>
      </c>
      <c r="CE86" s="9" t="str">
        <f t="shared" ca="1" si="194"/>
        <v/>
      </c>
      <c r="CF86" s="9" t="str">
        <f t="shared" ca="1" si="195"/>
        <v/>
      </c>
      <c r="CG86" s="9" t="str">
        <f t="shared" ca="1" si="196"/>
        <v/>
      </c>
      <c r="CK86" s="12"/>
      <c r="CR86" s="12"/>
      <c r="CY86" s="12"/>
      <c r="DF86" s="12"/>
    </row>
    <row r="87" spans="38:110" ht="16.5" customHeight="1">
      <c r="AL87" s="12"/>
      <c r="AS87" s="12"/>
      <c r="AZ87" s="9">
        <v>78</v>
      </c>
      <c r="BA87" s="11">
        <f t="shared" si="197"/>
        <v>36892.802083333147</v>
      </c>
      <c r="BB87" s="9" cm="1">
        <f t="array" aca="1" ref="BB87" ca="1">INDIRECT(ADDRESS(2+$AZ87,1+MATCH($AE$9,INDIRECT($AE$16&amp;"!$B$2:$R$2"),0),1,1,$AE$16))</f>
        <v>0</v>
      </c>
      <c r="BC87" s="9" cm="1">
        <f t="array" aca="1" ref="BC87" ca="1">INDIRECT(ADDRESS(2+$AZ87,1+MATCH($AE$9,INDIRECT($AE$17&amp;"!$B$2:$R$2"),0),1,1,$AE$17))</f>
        <v>0</v>
      </c>
      <c r="BD87" s="9" cm="1">
        <f t="array" aca="1" ref="BD87" ca="1">INDIRECT(ADDRESS(2+$AZ87,1+MATCH($AE$9,INDIRECT($AE$18&amp;"!$B$2:$R$2"),0),1,1,$AE$18))</f>
        <v>0</v>
      </c>
      <c r="BH87" s="9">
        <v>78</v>
      </c>
      <c r="BI87" s="11">
        <f t="shared" si="198"/>
        <v>36892.802083333147</v>
      </c>
      <c r="BJ87" s="9" t="b">
        <f t="shared" ca="1" si="185"/>
        <v>1</v>
      </c>
      <c r="BK87" s="9" t="b">
        <f t="shared" ca="1" si="186"/>
        <v>1</v>
      </c>
      <c r="BL87" s="9" t="b">
        <f t="shared" ca="1" si="187"/>
        <v>1</v>
      </c>
      <c r="BO87" s="9">
        <v>78</v>
      </c>
      <c r="BP87" s="11">
        <f t="shared" si="199"/>
        <v>36892.802083333147</v>
      </c>
      <c r="BQ87" s="9" t="str">
        <f t="shared" ca="1" si="188"/>
        <v/>
      </c>
      <c r="BR87" s="9" t="str">
        <f t="shared" ca="1" si="189"/>
        <v/>
      </c>
      <c r="BS87" s="9" t="str">
        <f t="shared" ca="1" si="190"/>
        <v/>
      </c>
      <c r="BV87" s="9">
        <v>78</v>
      </c>
      <c r="BW87" s="11">
        <f t="shared" si="200"/>
        <v>36892.802083333147</v>
      </c>
      <c r="BX87" s="9" t="str">
        <f t="shared" ca="1" si="191"/>
        <v/>
      </c>
      <c r="BY87" s="9" t="str">
        <f t="shared" ca="1" si="192"/>
        <v/>
      </c>
      <c r="BZ87" s="9" t="str">
        <f t="shared" ca="1" si="193"/>
        <v/>
      </c>
      <c r="CC87" s="9">
        <v>78</v>
      </c>
      <c r="CD87" s="11">
        <f t="shared" si="201"/>
        <v>36892.802083333147</v>
      </c>
      <c r="CE87" s="9" t="str">
        <f t="shared" ca="1" si="194"/>
        <v/>
      </c>
      <c r="CF87" s="9" t="str">
        <f t="shared" ca="1" si="195"/>
        <v/>
      </c>
      <c r="CG87" s="9" t="str">
        <f t="shared" ca="1" si="196"/>
        <v/>
      </c>
      <c r="CK87" s="12"/>
      <c r="CR87" s="12"/>
      <c r="CY87" s="12"/>
      <c r="DF87" s="12"/>
    </row>
    <row r="88" spans="38:110" ht="16.5" customHeight="1">
      <c r="AL88" s="12"/>
      <c r="AS88" s="12"/>
      <c r="AZ88" s="9">
        <v>79</v>
      </c>
      <c r="BA88" s="11">
        <f t="shared" si="197"/>
        <v>36892.812499999811</v>
      </c>
      <c r="BB88" s="9" cm="1">
        <f t="array" aca="1" ref="BB88" ca="1">INDIRECT(ADDRESS(2+$AZ88,1+MATCH($AE$9,INDIRECT($AE$16&amp;"!$B$2:$R$2"),0),1,1,$AE$16))</f>
        <v>0</v>
      </c>
      <c r="BC88" s="9" cm="1">
        <f t="array" aca="1" ref="BC88" ca="1">INDIRECT(ADDRESS(2+$AZ88,1+MATCH($AE$9,INDIRECT($AE$17&amp;"!$B$2:$R$2"),0),1,1,$AE$17))</f>
        <v>0</v>
      </c>
      <c r="BD88" s="9" cm="1">
        <f t="array" aca="1" ref="BD88" ca="1">INDIRECT(ADDRESS(2+$AZ88,1+MATCH($AE$9,INDIRECT($AE$18&amp;"!$B$2:$R$2"),0),1,1,$AE$18))</f>
        <v>0</v>
      </c>
      <c r="BH88" s="9">
        <v>79</v>
      </c>
      <c r="BI88" s="11">
        <f t="shared" si="198"/>
        <v>36892.812499999811</v>
      </c>
      <c r="BJ88" s="9" t="b">
        <f t="shared" ca="1" si="185"/>
        <v>1</v>
      </c>
      <c r="BK88" s="9" t="b">
        <f t="shared" ca="1" si="186"/>
        <v>1</v>
      </c>
      <c r="BL88" s="9" t="b">
        <f t="shared" ca="1" si="187"/>
        <v>1</v>
      </c>
      <c r="BO88" s="9">
        <v>79</v>
      </c>
      <c r="BP88" s="11">
        <f t="shared" si="199"/>
        <v>36892.812499999811</v>
      </c>
      <c r="BQ88" s="9" t="str">
        <f t="shared" ca="1" si="188"/>
        <v/>
      </c>
      <c r="BR88" s="9" t="str">
        <f t="shared" ca="1" si="189"/>
        <v/>
      </c>
      <c r="BS88" s="9" t="str">
        <f t="shared" ca="1" si="190"/>
        <v/>
      </c>
      <c r="BV88" s="9">
        <v>79</v>
      </c>
      <c r="BW88" s="11">
        <f t="shared" si="200"/>
        <v>36892.812499999811</v>
      </c>
      <c r="BX88" s="9" t="str">
        <f t="shared" ca="1" si="191"/>
        <v/>
      </c>
      <c r="BY88" s="9" t="str">
        <f t="shared" ca="1" si="192"/>
        <v/>
      </c>
      <c r="BZ88" s="9" t="str">
        <f t="shared" ca="1" si="193"/>
        <v/>
      </c>
      <c r="CC88" s="9">
        <v>79</v>
      </c>
      <c r="CD88" s="11">
        <f t="shared" si="201"/>
        <v>36892.812499999811</v>
      </c>
      <c r="CE88" s="9" t="str">
        <f t="shared" ca="1" si="194"/>
        <v/>
      </c>
      <c r="CF88" s="9" t="str">
        <f t="shared" ca="1" si="195"/>
        <v/>
      </c>
      <c r="CG88" s="9" t="str">
        <f t="shared" ca="1" si="196"/>
        <v/>
      </c>
      <c r="CK88" s="12"/>
      <c r="CR88" s="12"/>
      <c r="CY88" s="12"/>
      <c r="DF88" s="12"/>
    </row>
    <row r="89" spans="38:110" ht="16.5" customHeight="1">
      <c r="AL89" s="12"/>
      <c r="AS89" s="12"/>
      <c r="AZ89" s="9">
        <v>80</v>
      </c>
      <c r="BA89" s="11">
        <f t="shared" si="197"/>
        <v>36892.822916666475</v>
      </c>
      <c r="BB89" s="9" cm="1">
        <f t="array" aca="1" ref="BB89" ca="1">INDIRECT(ADDRESS(2+$AZ89,1+MATCH($AE$9,INDIRECT($AE$16&amp;"!$B$2:$R$2"),0),1,1,$AE$16))</f>
        <v>0</v>
      </c>
      <c r="BC89" s="9" cm="1">
        <f t="array" aca="1" ref="BC89" ca="1">INDIRECT(ADDRESS(2+$AZ89,1+MATCH($AE$9,INDIRECT($AE$17&amp;"!$B$2:$R$2"),0),1,1,$AE$17))</f>
        <v>0</v>
      </c>
      <c r="BD89" s="9" cm="1">
        <f t="array" aca="1" ref="BD89" ca="1">INDIRECT(ADDRESS(2+$AZ89,1+MATCH($AE$9,INDIRECT($AE$18&amp;"!$B$2:$R$2"),0),1,1,$AE$18))</f>
        <v>0</v>
      </c>
      <c r="BH89" s="9">
        <v>80</v>
      </c>
      <c r="BI89" s="11">
        <f t="shared" si="198"/>
        <v>36892.822916666475</v>
      </c>
      <c r="BJ89" s="9" t="b">
        <f t="shared" ca="1" si="185"/>
        <v>1</v>
      </c>
      <c r="BK89" s="9" t="b">
        <f t="shared" ca="1" si="186"/>
        <v>1</v>
      </c>
      <c r="BL89" s="9" t="b">
        <f t="shared" ca="1" si="187"/>
        <v>1</v>
      </c>
      <c r="BO89" s="9">
        <v>80</v>
      </c>
      <c r="BP89" s="11">
        <f t="shared" si="199"/>
        <v>36892.822916666475</v>
      </c>
      <c r="BQ89" s="9" t="str">
        <f t="shared" ca="1" si="188"/>
        <v/>
      </c>
      <c r="BR89" s="9" t="str">
        <f t="shared" ca="1" si="189"/>
        <v/>
      </c>
      <c r="BS89" s="9" t="str">
        <f t="shared" ca="1" si="190"/>
        <v/>
      </c>
      <c r="BV89" s="9">
        <v>80</v>
      </c>
      <c r="BW89" s="11">
        <f t="shared" si="200"/>
        <v>36892.822916666475</v>
      </c>
      <c r="BX89" s="9" t="str">
        <f t="shared" ca="1" si="191"/>
        <v/>
      </c>
      <c r="BY89" s="9" t="str">
        <f t="shared" ca="1" si="192"/>
        <v/>
      </c>
      <c r="BZ89" s="9" t="str">
        <f t="shared" ca="1" si="193"/>
        <v/>
      </c>
      <c r="CC89" s="9">
        <v>80</v>
      </c>
      <c r="CD89" s="11">
        <f t="shared" si="201"/>
        <v>36892.822916666475</v>
      </c>
      <c r="CE89" s="9" t="str">
        <f t="shared" ca="1" si="194"/>
        <v/>
      </c>
      <c r="CF89" s="9" t="str">
        <f t="shared" ca="1" si="195"/>
        <v/>
      </c>
      <c r="CG89" s="9" t="str">
        <f t="shared" ca="1" si="196"/>
        <v/>
      </c>
      <c r="CK89" s="12"/>
      <c r="CR89" s="12"/>
      <c r="CY89" s="12"/>
      <c r="DF89" s="12"/>
    </row>
    <row r="90" spans="38:110" ht="16.5" customHeight="1">
      <c r="AL90" s="12"/>
      <c r="AS90" s="12"/>
      <c r="AZ90" s="9">
        <v>81</v>
      </c>
      <c r="BA90" s="11">
        <f t="shared" si="197"/>
        <v>36892.833333333139</v>
      </c>
      <c r="BB90" s="9" cm="1">
        <f t="array" aca="1" ref="BB90" ca="1">INDIRECT(ADDRESS(2+$AZ90,1+MATCH($AE$9,INDIRECT($AE$16&amp;"!$B$2:$R$2"),0),1,1,$AE$16))</f>
        <v>0</v>
      </c>
      <c r="BC90" s="9" cm="1">
        <f t="array" aca="1" ref="BC90" ca="1">INDIRECT(ADDRESS(2+$AZ90,1+MATCH($AE$9,INDIRECT($AE$17&amp;"!$B$2:$R$2"),0),1,1,$AE$17))</f>
        <v>0</v>
      </c>
      <c r="BD90" s="9" cm="1">
        <f t="array" aca="1" ref="BD90" ca="1">INDIRECT(ADDRESS(2+$AZ90,1+MATCH($AE$9,INDIRECT($AE$18&amp;"!$B$2:$R$2"),0),1,1,$AE$18))</f>
        <v>0</v>
      </c>
      <c r="BH90" s="9">
        <v>81</v>
      </c>
      <c r="BI90" s="11">
        <f t="shared" si="198"/>
        <v>36892.833333333139</v>
      </c>
      <c r="BJ90" s="9" t="b">
        <f t="shared" ca="1" si="185"/>
        <v>1</v>
      </c>
      <c r="BK90" s="9" t="b">
        <f t="shared" ca="1" si="186"/>
        <v>1</v>
      </c>
      <c r="BL90" s="9" t="b">
        <f t="shared" ca="1" si="187"/>
        <v>1</v>
      </c>
      <c r="BO90" s="9">
        <v>81</v>
      </c>
      <c r="BP90" s="11">
        <f t="shared" si="199"/>
        <v>36892.833333333139</v>
      </c>
      <c r="BQ90" s="9" t="str">
        <f t="shared" ca="1" si="188"/>
        <v/>
      </c>
      <c r="BR90" s="9" t="str">
        <f t="shared" ca="1" si="189"/>
        <v/>
      </c>
      <c r="BS90" s="9" t="str">
        <f t="shared" ca="1" si="190"/>
        <v/>
      </c>
      <c r="BV90" s="9">
        <v>81</v>
      </c>
      <c r="BW90" s="11">
        <f t="shared" si="200"/>
        <v>36892.833333333139</v>
      </c>
      <c r="BX90" s="9" t="str">
        <f t="shared" ca="1" si="191"/>
        <v/>
      </c>
      <c r="BY90" s="9" t="str">
        <f t="shared" ca="1" si="192"/>
        <v/>
      </c>
      <c r="BZ90" s="9" t="str">
        <f t="shared" ca="1" si="193"/>
        <v/>
      </c>
      <c r="CC90" s="9">
        <v>81</v>
      </c>
      <c r="CD90" s="11">
        <f t="shared" si="201"/>
        <v>36892.833333333139</v>
      </c>
      <c r="CE90" s="9" t="str">
        <f t="shared" ca="1" si="194"/>
        <v/>
      </c>
      <c r="CF90" s="9" t="str">
        <f t="shared" ca="1" si="195"/>
        <v/>
      </c>
      <c r="CG90" s="9" t="str">
        <f t="shared" ca="1" si="196"/>
        <v/>
      </c>
      <c r="CK90" s="12"/>
      <c r="CR90" s="12"/>
      <c r="CY90" s="12"/>
      <c r="DF90" s="12"/>
    </row>
    <row r="91" spans="38:110" ht="16.5" customHeight="1">
      <c r="AL91" s="12"/>
      <c r="AS91" s="12"/>
      <c r="AZ91" s="9">
        <v>82</v>
      </c>
      <c r="BA91" s="11">
        <f t="shared" si="197"/>
        <v>36892.843749999804</v>
      </c>
      <c r="BB91" s="9" cm="1">
        <f t="array" aca="1" ref="BB91" ca="1">INDIRECT(ADDRESS(2+$AZ91,1+MATCH($AE$9,INDIRECT($AE$16&amp;"!$B$2:$R$2"),0),1,1,$AE$16))</f>
        <v>0</v>
      </c>
      <c r="BC91" s="9" cm="1">
        <f t="array" aca="1" ref="BC91" ca="1">INDIRECT(ADDRESS(2+$AZ91,1+MATCH($AE$9,INDIRECT($AE$17&amp;"!$B$2:$R$2"),0),1,1,$AE$17))</f>
        <v>0</v>
      </c>
      <c r="BD91" s="9" cm="1">
        <f t="array" aca="1" ref="BD91" ca="1">INDIRECT(ADDRESS(2+$AZ91,1+MATCH($AE$9,INDIRECT($AE$18&amp;"!$B$2:$R$2"),0),1,1,$AE$18))</f>
        <v>0</v>
      </c>
      <c r="BH91" s="9">
        <v>82</v>
      </c>
      <c r="BI91" s="11">
        <f t="shared" si="198"/>
        <v>36892.843749999804</v>
      </c>
      <c r="BJ91" s="9" t="b">
        <f t="shared" ca="1" si="185"/>
        <v>1</v>
      </c>
      <c r="BK91" s="9" t="b">
        <f t="shared" ca="1" si="186"/>
        <v>1</v>
      </c>
      <c r="BL91" s="9" t="b">
        <f t="shared" ca="1" si="187"/>
        <v>1</v>
      </c>
      <c r="BO91" s="9">
        <v>82</v>
      </c>
      <c r="BP91" s="11">
        <f t="shared" si="199"/>
        <v>36892.843749999804</v>
      </c>
      <c r="BQ91" s="9" t="str">
        <f t="shared" ca="1" si="188"/>
        <v/>
      </c>
      <c r="BR91" s="9" t="str">
        <f t="shared" ca="1" si="189"/>
        <v/>
      </c>
      <c r="BS91" s="9" t="str">
        <f t="shared" ca="1" si="190"/>
        <v/>
      </c>
      <c r="BV91" s="9">
        <v>82</v>
      </c>
      <c r="BW91" s="11">
        <f t="shared" si="200"/>
        <v>36892.843749999804</v>
      </c>
      <c r="BX91" s="9" t="str">
        <f t="shared" ca="1" si="191"/>
        <v/>
      </c>
      <c r="BY91" s="9" t="str">
        <f t="shared" ca="1" si="192"/>
        <v/>
      </c>
      <c r="BZ91" s="9" t="str">
        <f t="shared" ca="1" si="193"/>
        <v/>
      </c>
      <c r="CC91" s="9">
        <v>82</v>
      </c>
      <c r="CD91" s="11">
        <f t="shared" si="201"/>
        <v>36892.843749999804</v>
      </c>
      <c r="CE91" s="9" t="str">
        <f t="shared" ca="1" si="194"/>
        <v/>
      </c>
      <c r="CF91" s="9" t="str">
        <f t="shared" ca="1" si="195"/>
        <v/>
      </c>
      <c r="CG91" s="9" t="str">
        <f t="shared" ca="1" si="196"/>
        <v/>
      </c>
      <c r="CK91" s="12"/>
      <c r="CR91" s="12"/>
      <c r="CY91" s="12"/>
      <c r="DF91" s="12"/>
    </row>
    <row r="92" spans="38:110" ht="16.5" customHeight="1">
      <c r="AL92" s="12"/>
      <c r="AS92" s="12"/>
      <c r="AZ92" s="9">
        <v>83</v>
      </c>
      <c r="BA92" s="11">
        <f t="shared" si="197"/>
        <v>36892.854166666468</v>
      </c>
      <c r="BB92" s="9" cm="1">
        <f t="array" aca="1" ref="BB92" ca="1">INDIRECT(ADDRESS(2+$AZ92,1+MATCH($AE$9,INDIRECT($AE$16&amp;"!$B$2:$R$2"),0),1,1,$AE$16))</f>
        <v>0</v>
      </c>
      <c r="BC92" s="9" cm="1">
        <f t="array" aca="1" ref="BC92" ca="1">INDIRECT(ADDRESS(2+$AZ92,1+MATCH($AE$9,INDIRECT($AE$17&amp;"!$B$2:$R$2"),0),1,1,$AE$17))</f>
        <v>0</v>
      </c>
      <c r="BD92" s="9" cm="1">
        <f t="array" aca="1" ref="BD92" ca="1">INDIRECT(ADDRESS(2+$AZ92,1+MATCH($AE$9,INDIRECT($AE$18&amp;"!$B$2:$R$2"),0),1,1,$AE$18))</f>
        <v>0</v>
      </c>
      <c r="BH92" s="9">
        <v>83</v>
      </c>
      <c r="BI92" s="11">
        <f t="shared" si="198"/>
        <v>36892.854166666468</v>
      </c>
      <c r="BJ92" s="9" t="b">
        <f t="shared" ca="1" si="185"/>
        <v>1</v>
      </c>
      <c r="BK92" s="9" t="b">
        <f t="shared" ca="1" si="186"/>
        <v>1</v>
      </c>
      <c r="BL92" s="9" t="b">
        <f t="shared" ca="1" si="187"/>
        <v>1</v>
      </c>
      <c r="BO92" s="9">
        <v>83</v>
      </c>
      <c r="BP92" s="11">
        <f t="shared" si="199"/>
        <v>36892.854166666468</v>
      </c>
      <c r="BQ92" s="9" t="str">
        <f t="shared" ca="1" si="188"/>
        <v/>
      </c>
      <c r="BR92" s="9" t="str">
        <f t="shared" ca="1" si="189"/>
        <v/>
      </c>
      <c r="BS92" s="9" t="str">
        <f t="shared" ca="1" si="190"/>
        <v/>
      </c>
      <c r="BV92" s="9">
        <v>83</v>
      </c>
      <c r="BW92" s="11">
        <f t="shared" si="200"/>
        <v>36892.854166666468</v>
      </c>
      <c r="BX92" s="9" t="str">
        <f t="shared" ca="1" si="191"/>
        <v/>
      </c>
      <c r="BY92" s="9" t="str">
        <f t="shared" ca="1" si="192"/>
        <v/>
      </c>
      <c r="BZ92" s="9" t="str">
        <f t="shared" ca="1" si="193"/>
        <v/>
      </c>
      <c r="CC92" s="9">
        <v>83</v>
      </c>
      <c r="CD92" s="11">
        <f t="shared" si="201"/>
        <v>36892.854166666468</v>
      </c>
      <c r="CE92" s="9" t="str">
        <f t="shared" ca="1" si="194"/>
        <v/>
      </c>
      <c r="CF92" s="9" t="str">
        <f t="shared" ca="1" si="195"/>
        <v/>
      </c>
      <c r="CG92" s="9" t="str">
        <f t="shared" ca="1" si="196"/>
        <v/>
      </c>
      <c r="CK92" s="12"/>
      <c r="CR92" s="12"/>
      <c r="CY92" s="12"/>
      <c r="DF92" s="12"/>
    </row>
    <row r="93" spans="38:110" ht="16.5" customHeight="1">
      <c r="AL93" s="12"/>
      <c r="AS93" s="12"/>
      <c r="AZ93" s="9">
        <v>84</v>
      </c>
      <c r="BA93" s="11">
        <f t="shared" si="197"/>
        <v>36892.864583333132</v>
      </c>
      <c r="BB93" s="9" cm="1">
        <f t="array" aca="1" ref="BB93" ca="1">INDIRECT(ADDRESS(2+$AZ93,1+MATCH($AE$9,INDIRECT($AE$16&amp;"!$B$2:$R$2"),0),1,1,$AE$16))</f>
        <v>0</v>
      </c>
      <c r="BC93" s="9" cm="1">
        <f t="array" aca="1" ref="BC93" ca="1">INDIRECT(ADDRESS(2+$AZ93,1+MATCH($AE$9,INDIRECT($AE$17&amp;"!$B$2:$R$2"),0),1,1,$AE$17))</f>
        <v>0</v>
      </c>
      <c r="BD93" s="9" cm="1">
        <f t="array" aca="1" ref="BD93" ca="1">INDIRECT(ADDRESS(2+$AZ93,1+MATCH($AE$9,INDIRECT($AE$18&amp;"!$B$2:$R$2"),0),1,1,$AE$18))</f>
        <v>0</v>
      </c>
      <c r="BH93" s="9">
        <v>84</v>
      </c>
      <c r="BI93" s="11">
        <f t="shared" si="198"/>
        <v>36892.864583333132</v>
      </c>
      <c r="BJ93" s="9" t="b">
        <f t="shared" ca="1" si="185"/>
        <v>1</v>
      </c>
      <c r="BK93" s="9" t="b">
        <f t="shared" ca="1" si="186"/>
        <v>1</v>
      </c>
      <c r="BL93" s="9" t="b">
        <f t="shared" ca="1" si="187"/>
        <v>1</v>
      </c>
      <c r="BO93" s="9">
        <v>84</v>
      </c>
      <c r="BP93" s="11">
        <f t="shared" si="199"/>
        <v>36892.864583333132</v>
      </c>
      <c r="BQ93" s="9" t="str">
        <f t="shared" ca="1" si="188"/>
        <v/>
      </c>
      <c r="BR93" s="9" t="str">
        <f t="shared" ca="1" si="189"/>
        <v/>
      </c>
      <c r="BS93" s="9" t="str">
        <f t="shared" ca="1" si="190"/>
        <v/>
      </c>
      <c r="BV93" s="9">
        <v>84</v>
      </c>
      <c r="BW93" s="11">
        <f t="shared" si="200"/>
        <v>36892.864583333132</v>
      </c>
      <c r="BX93" s="9" t="str">
        <f t="shared" ca="1" si="191"/>
        <v/>
      </c>
      <c r="BY93" s="9" t="str">
        <f t="shared" ca="1" si="192"/>
        <v/>
      </c>
      <c r="BZ93" s="9" t="str">
        <f t="shared" ca="1" si="193"/>
        <v/>
      </c>
      <c r="CC93" s="9">
        <v>84</v>
      </c>
      <c r="CD93" s="11">
        <f t="shared" si="201"/>
        <v>36892.864583333132</v>
      </c>
      <c r="CE93" s="9" t="str">
        <f t="shared" ca="1" si="194"/>
        <v/>
      </c>
      <c r="CF93" s="9" t="str">
        <f t="shared" ca="1" si="195"/>
        <v/>
      </c>
      <c r="CG93" s="9" t="str">
        <f t="shared" ca="1" si="196"/>
        <v/>
      </c>
      <c r="CK93" s="12"/>
      <c r="CR93" s="12"/>
      <c r="CY93" s="12"/>
      <c r="DF93" s="12"/>
    </row>
    <row r="94" spans="38:110" ht="16.5" customHeight="1">
      <c r="AL94" s="12"/>
      <c r="AS94" s="12"/>
      <c r="AZ94" s="9">
        <v>85</v>
      </c>
      <c r="BA94" s="11">
        <f t="shared" si="197"/>
        <v>36892.874999999796</v>
      </c>
      <c r="BB94" s="9" cm="1">
        <f t="array" aca="1" ref="BB94" ca="1">INDIRECT(ADDRESS(2+$AZ94,1+MATCH($AE$9,INDIRECT($AE$16&amp;"!$B$2:$R$2"),0),1,1,$AE$16))</f>
        <v>0</v>
      </c>
      <c r="BC94" s="9" cm="1">
        <f t="array" aca="1" ref="BC94" ca="1">INDIRECT(ADDRESS(2+$AZ94,1+MATCH($AE$9,INDIRECT($AE$17&amp;"!$B$2:$R$2"),0),1,1,$AE$17))</f>
        <v>0</v>
      </c>
      <c r="BD94" s="9" cm="1">
        <f t="array" aca="1" ref="BD94" ca="1">INDIRECT(ADDRESS(2+$AZ94,1+MATCH($AE$9,INDIRECT($AE$18&amp;"!$B$2:$R$2"),0),1,1,$AE$18))</f>
        <v>0</v>
      </c>
      <c r="BH94" s="9">
        <v>85</v>
      </c>
      <c r="BI94" s="11">
        <f t="shared" si="198"/>
        <v>36892.874999999796</v>
      </c>
      <c r="BJ94" s="9" t="b">
        <f t="shared" ca="1" si="185"/>
        <v>1</v>
      </c>
      <c r="BK94" s="9" t="b">
        <f t="shared" ca="1" si="186"/>
        <v>1</v>
      </c>
      <c r="BL94" s="9" t="b">
        <f t="shared" ca="1" si="187"/>
        <v>1</v>
      </c>
      <c r="BO94" s="9">
        <v>85</v>
      </c>
      <c r="BP94" s="11">
        <f t="shared" si="199"/>
        <v>36892.874999999796</v>
      </c>
      <c r="BQ94" s="9" t="str">
        <f t="shared" ca="1" si="188"/>
        <v/>
      </c>
      <c r="BR94" s="9" t="str">
        <f t="shared" ca="1" si="189"/>
        <v/>
      </c>
      <c r="BS94" s="9" t="str">
        <f t="shared" ca="1" si="190"/>
        <v/>
      </c>
      <c r="BV94" s="9">
        <v>85</v>
      </c>
      <c r="BW94" s="11">
        <f t="shared" si="200"/>
        <v>36892.874999999796</v>
      </c>
      <c r="BX94" s="9" t="str">
        <f t="shared" ca="1" si="191"/>
        <v/>
      </c>
      <c r="BY94" s="9" t="str">
        <f t="shared" ca="1" si="192"/>
        <v/>
      </c>
      <c r="BZ94" s="9" t="str">
        <f t="shared" ca="1" si="193"/>
        <v/>
      </c>
      <c r="CC94" s="9">
        <v>85</v>
      </c>
      <c r="CD94" s="11">
        <f t="shared" si="201"/>
        <v>36892.874999999796</v>
      </c>
      <c r="CE94" s="9" t="str">
        <f t="shared" ca="1" si="194"/>
        <v/>
      </c>
      <c r="CF94" s="9" t="str">
        <f t="shared" ca="1" si="195"/>
        <v/>
      </c>
      <c r="CG94" s="9" t="str">
        <f t="shared" ca="1" si="196"/>
        <v/>
      </c>
      <c r="CK94" s="12"/>
      <c r="CR94" s="12"/>
      <c r="CY94" s="12"/>
      <c r="DF94" s="12"/>
    </row>
    <row r="95" spans="38:110" ht="16.5" customHeight="1">
      <c r="AL95" s="12"/>
      <c r="AS95" s="12"/>
      <c r="AZ95" s="9">
        <v>86</v>
      </c>
      <c r="BA95" s="11">
        <f t="shared" si="197"/>
        <v>36892.885416666461</v>
      </c>
      <c r="BB95" s="9" cm="1">
        <f t="array" aca="1" ref="BB95" ca="1">INDIRECT(ADDRESS(2+$AZ95,1+MATCH($AE$9,INDIRECT($AE$16&amp;"!$B$2:$R$2"),0),1,1,$AE$16))</f>
        <v>0</v>
      </c>
      <c r="BC95" s="9" cm="1">
        <f t="array" aca="1" ref="BC95" ca="1">INDIRECT(ADDRESS(2+$AZ95,1+MATCH($AE$9,INDIRECT($AE$17&amp;"!$B$2:$R$2"),0),1,1,$AE$17))</f>
        <v>0</v>
      </c>
      <c r="BD95" s="9" cm="1">
        <f t="array" aca="1" ref="BD95" ca="1">INDIRECT(ADDRESS(2+$AZ95,1+MATCH($AE$9,INDIRECT($AE$18&amp;"!$B$2:$R$2"),0),1,1,$AE$18))</f>
        <v>0</v>
      </c>
      <c r="BH95" s="9">
        <v>86</v>
      </c>
      <c r="BI95" s="11">
        <f t="shared" si="198"/>
        <v>36892.885416666461</v>
      </c>
      <c r="BJ95" s="9" t="b">
        <f t="shared" ca="1" si="185"/>
        <v>1</v>
      </c>
      <c r="BK95" s="9" t="b">
        <f t="shared" ca="1" si="186"/>
        <v>1</v>
      </c>
      <c r="BL95" s="9" t="b">
        <f t="shared" ca="1" si="187"/>
        <v>1</v>
      </c>
      <c r="BO95" s="9">
        <v>86</v>
      </c>
      <c r="BP95" s="11">
        <f t="shared" si="199"/>
        <v>36892.885416666461</v>
      </c>
      <c r="BQ95" s="9" t="str">
        <f t="shared" ca="1" si="188"/>
        <v/>
      </c>
      <c r="BR95" s="9" t="str">
        <f t="shared" ca="1" si="189"/>
        <v/>
      </c>
      <c r="BS95" s="9" t="str">
        <f t="shared" ca="1" si="190"/>
        <v/>
      </c>
      <c r="BV95" s="9">
        <v>86</v>
      </c>
      <c r="BW95" s="11">
        <f t="shared" si="200"/>
        <v>36892.885416666461</v>
      </c>
      <c r="BX95" s="9" t="str">
        <f t="shared" ca="1" si="191"/>
        <v/>
      </c>
      <c r="BY95" s="9" t="str">
        <f t="shared" ca="1" si="192"/>
        <v/>
      </c>
      <c r="BZ95" s="9" t="str">
        <f t="shared" ca="1" si="193"/>
        <v/>
      </c>
      <c r="CC95" s="9">
        <v>86</v>
      </c>
      <c r="CD95" s="11">
        <f t="shared" si="201"/>
        <v>36892.885416666461</v>
      </c>
      <c r="CE95" s="9" t="str">
        <f t="shared" ca="1" si="194"/>
        <v/>
      </c>
      <c r="CF95" s="9" t="str">
        <f t="shared" ca="1" si="195"/>
        <v/>
      </c>
      <c r="CG95" s="9" t="str">
        <f t="shared" ca="1" si="196"/>
        <v/>
      </c>
      <c r="CK95" s="12"/>
      <c r="CR95" s="12"/>
      <c r="CY95" s="12"/>
      <c r="DF95" s="12"/>
    </row>
    <row r="96" spans="38:110" ht="16.5" customHeight="1">
      <c r="AL96" s="12"/>
      <c r="AS96" s="12"/>
      <c r="AZ96" s="9">
        <v>87</v>
      </c>
      <c r="BA96" s="11">
        <f t="shared" si="197"/>
        <v>36892.895833333125</v>
      </c>
      <c r="BB96" s="9" cm="1">
        <f t="array" aca="1" ref="BB96" ca="1">INDIRECT(ADDRESS(2+$AZ96,1+MATCH($AE$9,INDIRECT($AE$16&amp;"!$B$2:$R$2"),0),1,1,$AE$16))</f>
        <v>0</v>
      </c>
      <c r="BC96" s="9" cm="1">
        <f t="array" aca="1" ref="BC96" ca="1">INDIRECT(ADDRESS(2+$AZ96,1+MATCH($AE$9,INDIRECT($AE$17&amp;"!$B$2:$R$2"),0),1,1,$AE$17))</f>
        <v>0</v>
      </c>
      <c r="BD96" s="9" cm="1">
        <f t="array" aca="1" ref="BD96" ca="1">INDIRECT(ADDRESS(2+$AZ96,1+MATCH($AE$9,INDIRECT($AE$18&amp;"!$B$2:$R$2"),0),1,1,$AE$18))</f>
        <v>0</v>
      </c>
      <c r="BH96" s="9">
        <v>87</v>
      </c>
      <c r="BI96" s="11">
        <f t="shared" si="198"/>
        <v>36892.895833333125</v>
      </c>
      <c r="BJ96" s="9" t="b">
        <f t="shared" ca="1" si="185"/>
        <v>1</v>
      </c>
      <c r="BK96" s="9" t="b">
        <f t="shared" ca="1" si="186"/>
        <v>1</v>
      </c>
      <c r="BL96" s="9" t="b">
        <f t="shared" ca="1" si="187"/>
        <v>1</v>
      </c>
      <c r="BO96" s="9">
        <v>87</v>
      </c>
      <c r="BP96" s="11">
        <f t="shared" si="199"/>
        <v>36892.895833333125</v>
      </c>
      <c r="BQ96" s="9" t="str">
        <f t="shared" ca="1" si="188"/>
        <v/>
      </c>
      <c r="BR96" s="9" t="str">
        <f t="shared" ca="1" si="189"/>
        <v/>
      </c>
      <c r="BS96" s="9" t="str">
        <f t="shared" ca="1" si="190"/>
        <v/>
      </c>
      <c r="BV96" s="9">
        <v>87</v>
      </c>
      <c r="BW96" s="11">
        <f t="shared" si="200"/>
        <v>36892.895833333125</v>
      </c>
      <c r="BX96" s="9" t="str">
        <f t="shared" ca="1" si="191"/>
        <v/>
      </c>
      <c r="BY96" s="9" t="str">
        <f t="shared" ca="1" si="192"/>
        <v/>
      </c>
      <c r="BZ96" s="9" t="str">
        <f t="shared" ca="1" si="193"/>
        <v/>
      </c>
      <c r="CC96" s="9">
        <v>87</v>
      </c>
      <c r="CD96" s="11">
        <f t="shared" si="201"/>
        <v>36892.895833333125</v>
      </c>
      <c r="CE96" s="9" t="str">
        <f t="shared" ca="1" si="194"/>
        <v/>
      </c>
      <c r="CF96" s="9" t="str">
        <f t="shared" ca="1" si="195"/>
        <v/>
      </c>
      <c r="CG96" s="9" t="str">
        <f t="shared" ca="1" si="196"/>
        <v/>
      </c>
      <c r="CK96" s="12"/>
      <c r="CR96" s="12"/>
      <c r="CY96" s="12"/>
      <c r="DF96" s="12"/>
    </row>
    <row r="97" spans="38:110" ht="16.5" customHeight="1">
      <c r="AL97" s="12"/>
      <c r="AS97" s="12"/>
      <c r="AZ97" s="9">
        <v>88</v>
      </c>
      <c r="BA97" s="11">
        <f t="shared" si="197"/>
        <v>36892.906249999789</v>
      </c>
      <c r="BB97" s="9" cm="1">
        <f t="array" aca="1" ref="BB97" ca="1">INDIRECT(ADDRESS(2+$AZ97,1+MATCH($AE$9,INDIRECT($AE$16&amp;"!$B$2:$R$2"),0),1,1,$AE$16))</f>
        <v>0</v>
      </c>
      <c r="BC97" s="9" cm="1">
        <f t="array" aca="1" ref="BC97" ca="1">INDIRECT(ADDRESS(2+$AZ97,1+MATCH($AE$9,INDIRECT($AE$17&amp;"!$B$2:$R$2"),0),1,1,$AE$17))</f>
        <v>0</v>
      </c>
      <c r="BD97" s="9" cm="1">
        <f t="array" aca="1" ref="BD97" ca="1">INDIRECT(ADDRESS(2+$AZ97,1+MATCH($AE$9,INDIRECT($AE$18&amp;"!$B$2:$R$2"),0),1,1,$AE$18))</f>
        <v>0</v>
      </c>
      <c r="BH97" s="9">
        <v>88</v>
      </c>
      <c r="BI97" s="11">
        <f t="shared" si="198"/>
        <v>36892.906249999789</v>
      </c>
      <c r="BJ97" s="9" t="b">
        <f t="shared" ca="1" si="185"/>
        <v>1</v>
      </c>
      <c r="BK97" s="9" t="b">
        <f t="shared" ca="1" si="186"/>
        <v>1</v>
      </c>
      <c r="BL97" s="9" t="b">
        <f t="shared" ca="1" si="187"/>
        <v>1</v>
      </c>
      <c r="BO97" s="9">
        <v>88</v>
      </c>
      <c r="BP97" s="11">
        <f t="shared" si="199"/>
        <v>36892.906249999789</v>
      </c>
      <c r="BQ97" s="9" t="str">
        <f t="shared" ca="1" si="188"/>
        <v/>
      </c>
      <c r="BR97" s="9" t="str">
        <f t="shared" ca="1" si="189"/>
        <v/>
      </c>
      <c r="BS97" s="9" t="str">
        <f t="shared" ca="1" si="190"/>
        <v/>
      </c>
      <c r="BV97" s="9">
        <v>88</v>
      </c>
      <c r="BW97" s="11">
        <f t="shared" si="200"/>
        <v>36892.906249999789</v>
      </c>
      <c r="BX97" s="9" t="str">
        <f t="shared" ca="1" si="191"/>
        <v/>
      </c>
      <c r="BY97" s="9" t="str">
        <f t="shared" ca="1" si="192"/>
        <v/>
      </c>
      <c r="BZ97" s="9" t="str">
        <f t="shared" ca="1" si="193"/>
        <v/>
      </c>
      <c r="CC97" s="9">
        <v>88</v>
      </c>
      <c r="CD97" s="11">
        <f t="shared" si="201"/>
        <v>36892.906249999789</v>
      </c>
      <c r="CE97" s="9" t="str">
        <f t="shared" ca="1" si="194"/>
        <v/>
      </c>
      <c r="CF97" s="9" t="str">
        <f t="shared" ca="1" si="195"/>
        <v/>
      </c>
      <c r="CG97" s="9" t="str">
        <f t="shared" ca="1" si="196"/>
        <v/>
      </c>
      <c r="CK97" s="12"/>
      <c r="CR97" s="12"/>
      <c r="CY97" s="12"/>
      <c r="DF97" s="12"/>
    </row>
    <row r="98" spans="38:110" ht="16.5" customHeight="1">
      <c r="AL98" s="12"/>
      <c r="AS98" s="12"/>
      <c r="AZ98" s="9">
        <v>89</v>
      </c>
      <c r="BA98" s="11">
        <f t="shared" si="197"/>
        <v>36892.916666666453</v>
      </c>
      <c r="BB98" s="9" cm="1">
        <f t="array" aca="1" ref="BB98" ca="1">INDIRECT(ADDRESS(2+$AZ98,1+MATCH($AE$9,INDIRECT($AE$16&amp;"!$B$2:$R$2"),0),1,1,$AE$16))</f>
        <v>0</v>
      </c>
      <c r="BC98" s="9" cm="1">
        <f t="array" aca="1" ref="BC98" ca="1">INDIRECT(ADDRESS(2+$AZ98,1+MATCH($AE$9,INDIRECT($AE$17&amp;"!$B$2:$R$2"),0),1,1,$AE$17))</f>
        <v>0</v>
      </c>
      <c r="BD98" s="9" cm="1">
        <f t="array" aca="1" ref="BD98" ca="1">INDIRECT(ADDRESS(2+$AZ98,1+MATCH($AE$9,INDIRECT($AE$18&amp;"!$B$2:$R$2"),0),1,1,$AE$18))</f>
        <v>0</v>
      </c>
      <c r="BH98" s="9">
        <v>89</v>
      </c>
      <c r="BI98" s="11">
        <f t="shared" si="198"/>
        <v>36892.916666666453</v>
      </c>
      <c r="BJ98" s="9" t="b">
        <f t="shared" ca="1" si="185"/>
        <v>1</v>
      </c>
      <c r="BK98" s="9" t="b">
        <f t="shared" ca="1" si="186"/>
        <v>1</v>
      </c>
      <c r="BL98" s="9" t="b">
        <f t="shared" ca="1" si="187"/>
        <v>1</v>
      </c>
      <c r="BO98" s="9">
        <v>89</v>
      </c>
      <c r="BP98" s="11">
        <f t="shared" si="199"/>
        <v>36892.916666666453</v>
      </c>
      <c r="BQ98" s="9" t="str">
        <f t="shared" ca="1" si="188"/>
        <v/>
      </c>
      <c r="BR98" s="9" t="str">
        <f t="shared" ca="1" si="189"/>
        <v/>
      </c>
      <c r="BS98" s="9" t="str">
        <f t="shared" ca="1" si="190"/>
        <v/>
      </c>
      <c r="BV98" s="9">
        <v>89</v>
      </c>
      <c r="BW98" s="11">
        <f t="shared" si="200"/>
        <v>36892.916666666453</v>
      </c>
      <c r="BX98" s="9" t="str">
        <f t="shared" ca="1" si="191"/>
        <v/>
      </c>
      <c r="BY98" s="9" t="str">
        <f t="shared" ca="1" si="192"/>
        <v/>
      </c>
      <c r="BZ98" s="9" t="str">
        <f t="shared" ca="1" si="193"/>
        <v/>
      </c>
      <c r="CC98" s="9">
        <v>89</v>
      </c>
      <c r="CD98" s="11">
        <f t="shared" si="201"/>
        <v>36892.916666666453</v>
      </c>
      <c r="CE98" s="9" t="str">
        <f t="shared" ca="1" si="194"/>
        <v/>
      </c>
      <c r="CF98" s="9" t="str">
        <f t="shared" ca="1" si="195"/>
        <v/>
      </c>
      <c r="CG98" s="9" t="str">
        <f t="shared" ca="1" si="196"/>
        <v/>
      </c>
      <c r="CK98" s="12"/>
      <c r="CR98" s="12"/>
      <c r="CY98" s="12"/>
      <c r="DF98" s="12"/>
    </row>
    <row r="99" spans="38:110" ht="16.5" customHeight="1">
      <c r="AL99" s="12"/>
      <c r="AS99" s="12"/>
      <c r="AZ99" s="9">
        <v>90</v>
      </c>
      <c r="BA99" s="11">
        <f t="shared" si="197"/>
        <v>36892.927083333117</v>
      </c>
      <c r="BB99" s="9" cm="1">
        <f t="array" aca="1" ref="BB99" ca="1">INDIRECT(ADDRESS(2+$AZ99,1+MATCH($AE$9,INDIRECT($AE$16&amp;"!$B$2:$R$2"),0),1,1,$AE$16))</f>
        <v>0</v>
      </c>
      <c r="BC99" s="9" cm="1">
        <f t="array" aca="1" ref="BC99" ca="1">INDIRECT(ADDRESS(2+$AZ99,1+MATCH($AE$9,INDIRECT($AE$17&amp;"!$B$2:$R$2"),0),1,1,$AE$17))</f>
        <v>0</v>
      </c>
      <c r="BD99" s="9" cm="1">
        <f t="array" aca="1" ref="BD99" ca="1">INDIRECT(ADDRESS(2+$AZ99,1+MATCH($AE$9,INDIRECT($AE$18&amp;"!$B$2:$R$2"),0),1,1,$AE$18))</f>
        <v>0</v>
      </c>
      <c r="BH99" s="9">
        <v>90</v>
      </c>
      <c r="BI99" s="11">
        <f t="shared" si="198"/>
        <v>36892.927083333117</v>
      </c>
      <c r="BJ99" s="9" t="b">
        <f t="shared" ca="1" si="185"/>
        <v>1</v>
      </c>
      <c r="BK99" s="9" t="b">
        <f t="shared" ca="1" si="186"/>
        <v>1</v>
      </c>
      <c r="BL99" s="9" t="b">
        <f t="shared" ca="1" si="187"/>
        <v>1</v>
      </c>
      <c r="BO99" s="9">
        <v>90</v>
      </c>
      <c r="BP99" s="11">
        <f t="shared" si="199"/>
        <v>36892.927083333117</v>
      </c>
      <c r="BQ99" s="9" t="str">
        <f t="shared" ca="1" si="188"/>
        <v/>
      </c>
      <c r="BR99" s="9" t="str">
        <f t="shared" ca="1" si="189"/>
        <v/>
      </c>
      <c r="BS99" s="9" t="str">
        <f t="shared" ca="1" si="190"/>
        <v/>
      </c>
      <c r="BV99" s="9">
        <v>90</v>
      </c>
      <c r="BW99" s="11">
        <f t="shared" si="200"/>
        <v>36892.927083333117</v>
      </c>
      <c r="BX99" s="9" t="str">
        <f t="shared" ca="1" si="191"/>
        <v/>
      </c>
      <c r="BY99" s="9" t="str">
        <f t="shared" ca="1" si="192"/>
        <v/>
      </c>
      <c r="BZ99" s="9" t="str">
        <f t="shared" ca="1" si="193"/>
        <v/>
      </c>
      <c r="CC99" s="9">
        <v>90</v>
      </c>
      <c r="CD99" s="11">
        <f t="shared" si="201"/>
        <v>36892.927083333117</v>
      </c>
      <c r="CE99" s="9" t="str">
        <f t="shared" ca="1" si="194"/>
        <v/>
      </c>
      <c r="CF99" s="9" t="str">
        <f t="shared" ca="1" si="195"/>
        <v/>
      </c>
      <c r="CG99" s="9" t="str">
        <f t="shared" ca="1" si="196"/>
        <v/>
      </c>
      <c r="CK99" s="12"/>
      <c r="CR99" s="12"/>
      <c r="CY99" s="12"/>
      <c r="DF99" s="12"/>
    </row>
    <row r="100" spans="38:110" ht="16.5" customHeight="1">
      <c r="AL100" s="12"/>
      <c r="AS100" s="12"/>
      <c r="AZ100" s="9">
        <v>91</v>
      </c>
      <c r="BA100" s="11">
        <f t="shared" si="197"/>
        <v>36892.937499999782</v>
      </c>
      <c r="BB100" s="9" cm="1">
        <f t="array" aca="1" ref="BB100" ca="1">INDIRECT(ADDRESS(2+$AZ100,1+MATCH($AE$9,INDIRECT($AE$16&amp;"!$B$2:$R$2"),0),1,1,$AE$16))</f>
        <v>0</v>
      </c>
      <c r="BC100" s="9" cm="1">
        <f t="array" aca="1" ref="BC100" ca="1">INDIRECT(ADDRESS(2+$AZ100,1+MATCH($AE$9,INDIRECT($AE$17&amp;"!$B$2:$R$2"),0),1,1,$AE$17))</f>
        <v>0</v>
      </c>
      <c r="BD100" s="9" cm="1">
        <f t="array" aca="1" ref="BD100" ca="1">INDIRECT(ADDRESS(2+$AZ100,1+MATCH($AE$9,INDIRECT($AE$18&amp;"!$B$2:$R$2"),0),1,1,$AE$18))</f>
        <v>0</v>
      </c>
      <c r="BH100" s="9">
        <v>91</v>
      </c>
      <c r="BI100" s="11">
        <f t="shared" si="198"/>
        <v>36892.937499999782</v>
      </c>
      <c r="BJ100" s="9" t="b">
        <f t="shared" ca="1" si="185"/>
        <v>1</v>
      </c>
      <c r="BK100" s="9" t="b">
        <f t="shared" ca="1" si="186"/>
        <v>1</v>
      </c>
      <c r="BL100" s="9" t="b">
        <f t="shared" ca="1" si="187"/>
        <v>1</v>
      </c>
      <c r="BO100" s="9">
        <v>91</v>
      </c>
      <c r="BP100" s="11">
        <f t="shared" si="199"/>
        <v>36892.937499999782</v>
      </c>
      <c r="BQ100" s="9" t="str">
        <f t="shared" ca="1" si="188"/>
        <v/>
      </c>
      <c r="BR100" s="9" t="str">
        <f t="shared" ca="1" si="189"/>
        <v/>
      </c>
      <c r="BS100" s="9" t="str">
        <f t="shared" ca="1" si="190"/>
        <v/>
      </c>
      <c r="BV100" s="9">
        <v>91</v>
      </c>
      <c r="BW100" s="11">
        <f t="shared" si="200"/>
        <v>36892.937499999782</v>
      </c>
      <c r="BX100" s="9" t="str">
        <f t="shared" ca="1" si="191"/>
        <v/>
      </c>
      <c r="BY100" s="9" t="str">
        <f t="shared" ca="1" si="192"/>
        <v/>
      </c>
      <c r="BZ100" s="9" t="str">
        <f t="shared" ca="1" si="193"/>
        <v/>
      </c>
      <c r="CC100" s="9">
        <v>91</v>
      </c>
      <c r="CD100" s="11">
        <f t="shared" si="201"/>
        <v>36892.937499999782</v>
      </c>
      <c r="CE100" s="9" t="str">
        <f t="shared" ca="1" si="194"/>
        <v/>
      </c>
      <c r="CF100" s="9" t="str">
        <f t="shared" ca="1" si="195"/>
        <v/>
      </c>
      <c r="CG100" s="9" t="str">
        <f t="shared" ca="1" si="196"/>
        <v/>
      </c>
      <c r="CK100" s="12"/>
      <c r="CR100" s="12"/>
      <c r="CY100" s="12"/>
      <c r="DF100" s="12"/>
    </row>
    <row r="101" spans="38:110" ht="16.5" customHeight="1">
      <c r="AL101" s="12"/>
      <c r="AS101" s="12"/>
      <c r="AZ101" s="9">
        <v>92</v>
      </c>
      <c r="BA101" s="11">
        <f t="shared" si="197"/>
        <v>36892.947916666446</v>
      </c>
      <c r="BB101" s="9" cm="1">
        <f t="array" aca="1" ref="BB101" ca="1">INDIRECT(ADDRESS(2+$AZ101,1+MATCH($AE$9,INDIRECT($AE$16&amp;"!$B$2:$R$2"),0),1,1,$AE$16))</f>
        <v>0</v>
      </c>
      <c r="BC101" s="9" cm="1">
        <f t="array" aca="1" ref="BC101" ca="1">INDIRECT(ADDRESS(2+$AZ101,1+MATCH($AE$9,INDIRECT($AE$17&amp;"!$B$2:$R$2"),0),1,1,$AE$17))</f>
        <v>0</v>
      </c>
      <c r="BD101" s="9" cm="1">
        <f t="array" aca="1" ref="BD101" ca="1">INDIRECT(ADDRESS(2+$AZ101,1+MATCH($AE$9,INDIRECT($AE$18&amp;"!$B$2:$R$2"),0),1,1,$AE$18))</f>
        <v>0</v>
      </c>
      <c r="BH101" s="9">
        <v>92</v>
      </c>
      <c r="BI101" s="11">
        <f t="shared" si="198"/>
        <v>36892.947916666446</v>
      </c>
      <c r="BJ101" s="9" t="b">
        <f t="shared" ca="1" si="185"/>
        <v>1</v>
      </c>
      <c r="BK101" s="9" t="b">
        <f t="shared" ca="1" si="186"/>
        <v>1</v>
      </c>
      <c r="BL101" s="9" t="b">
        <f t="shared" ca="1" si="187"/>
        <v>1</v>
      </c>
      <c r="BO101" s="9">
        <v>92</v>
      </c>
      <c r="BP101" s="11">
        <f t="shared" si="199"/>
        <v>36892.947916666446</v>
      </c>
      <c r="BQ101" s="9" t="str">
        <f t="shared" ca="1" si="188"/>
        <v/>
      </c>
      <c r="BR101" s="9" t="str">
        <f t="shared" ca="1" si="189"/>
        <v/>
      </c>
      <c r="BS101" s="9" t="str">
        <f t="shared" ca="1" si="190"/>
        <v/>
      </c>
      <c r="BV101" s="9">
        <v>92</v>
      </c>
      <c r="BW101" s="11">
        <f t="shared" si="200"/>
        <v>36892.947916666446</v>
      </c>
      <c r="BX101" s="9" t="str">
        <f t="shared" ca="1" si="191"/>
        <v/>
      </c>
      <c r="BY101" s="9" t="str">
        <f t="shared" ca="1" si="192"/>
        <v/>
      </c>
      <c r="BZ101" s="9" t="str">
        <f t="shared" ca="1" si="193"/>
        <v/>
      </c>
      <c r="CC101" s="9">
        <v>92</v>
      </c>
      <c r="CD101" s="11">
        <f t="shared" si="201"/>
        <v>36892.947916666446</v>
      </c>
      <c r="CE101" s="9" t="str">
        <f t="shared" ca="1" si="194"/>
        <v/>
      </c>
      <c r="CF101" s="9" t="str">
        <f t="shared" ca="1" si="195"/>
        <v/>
      </c>
      <c r="CG101" s="9" t="str">
        <f t="shared" ca="1" si="196"/>
        <v/>
      </c>
      <c r="CK101" s="12"/>
      <c r="CR101" s="12"/>
      <c r="CY101" s="12"/>
      <c r="DF101" s="12"/>
    </row>
    <row r="102" spans="38:110" ht="16.5" customHeight="1">
      <c r="AL102" s="12"/>
      <c r="AS102" s="12"/>
      <c r="AZ102" s="9">
        <v>93</v>
      </c>
      <c r="BA102" s="11">
        <f t="shared" si="197"/>
        <v>36892.95833333311</v>
      </c>
      <c r="BB102" s="9" cm="1">
        <f t="array" aca="1" ref="BB102" ca="1">INDIRECT(ADDRESS(2+$AZ102,1+MATCH($AE$9,INDIRECT($AE$16&amp;"!$B$2:$R$2"),0),1,1,$AE$16))</f>
        <v>0</v>
      </c>
      <c r="BC102" s="9" cm="1">
        <f t="array" aca="1" ref="BC102" ca="1">INDIRECT(ADDRESS(2+$AZ102,1+MATCH($AE$9,INDIRECT($AE$17&amp;"!$B$2:$R$2"),0),1,1,$AE$17))</f>
        <v>0</v>
      </c>
      <c r="BD102" s="9" cm="1">
        <f t="array" aca="1" ref="BD102" ca="1">INDIRECT(ADDRESS(2+$AZ102,1+MATCH($AE$9,INDIRECT($AE$18&amp;"!$B$2:$R$2"),0),1,1,$AE$18))</f>
        <v>0</v>
      </c>
      <c r="BH102" s="9">
        <v>93</v>
      </c>
      <c r="BI102" s="11">
        <f t="shared" si="198"/>
        <v>36892.95833333311</v>
      </c>
      <c r="BJ102" s="9" t="b">
        <f t="shared" ca="1" si="185"/>
        <v>1</v>
      </c>
      <c r="BK102" s="9" t="b">
        <f t="shared" ca="1" si="186"/>
        <v>1</v>
      </c>
      <c r="BL102" s="9" t="b">
        <f t="shared" ca="1" si="187"/>
        <v>1</v>
      </c>
      <c r="BO102" s="9">
        <v>93</v>
      </c>
      <c r="BP102" s="11">
        <f t="shared" si="199"/>
        <v>36892.95833333311</v>
      </c>
      <c r="BQ102" s="9" t="str">
        <f t="shared" ca="1" si="188"/>
        <v/>
      </c>
      <c r="BR102" s="9" t="str">
        <f t="shared" ca="1" si="189"/>
        <v/>
      </c>
      <c r="BS102" s="9" t="str">
        <f t="shared" ca="1" si="190"/>
        <v/>
      </c>
      <c r="BV102" s="9">
        <v>93</v>
      </c>
      <c r="BW102" s="11">
        <f t="shared" si="200"/>
        <v>36892.95833333311</v>
      </c>
      <c r="BX102" s="9" t="str">
        <f t="shared" ca="1" si="191"/>
        <v/>
      </c>
      <c r="BY102" s="9" t="str">
        <f t="shared" ca="1" si="192"/>
        <v/>
      </c>
      <c r="BZ102" s="9" t="str">
        <f t="shared" ca="1" si="193"/>
        <v/>
      </c>
      <c r="CC102" s="9">
        <v>93</v>
      </c>
      <c r="CD102" s="11">
        <f t="shared" si="201"/>
        <v>36892.95833333311</v>
      </c>
      <c r="CE102" s="9" t="str">
        <f t="shared" ca="1" si="194"/>
        <v/>
      </c>
      <c r="CF102" s="9" t="str">
        <f t="shared" ca="1" si="195"/>
        <v/>
      </c>
      <c r="CG102" s="9" t="str">
        <f t="shared" ca="1" si="196"/>
        <v/>
      </c>
      <c r="CK102" s="12"/>
      <c r="CR102" s="12"/>
      <c r="CY102" s="12"/>
      <c r="DF102" s="12"/>
    </row>
    <row r="103" spans="38:110" ht="16.5" customHeight="1">
      <c r="AL103" s="12"/>
      <c r="AS103" s="12"/>
      <c r="AZ103" s="9">
        <v>94</v>
      </c>
      <c r="BA103" s="11">
        <f t="shared" si="197"/>
        <v>36892.968749999774</v>
      </c>
      <c r="BB103" s="9" cm="1">
        <f t="array" aca="1" ref="BB103" ca="1">INDIRECT(ADDRESS(2+$AZ103,1+MATCH($AE$9,INDIRECT($AE$16&amp;"!$B$2:$R$2"),0),1,1,$AE$16))</f>
        <v>0</v>
      </c>
      <c r="BC103" s="9" cm="1">
        <f t="array" aca="1" ref="BC103" ca="1">INDIRECT(ADDRESS(2+$AZ103,1+MATCH($AE$9,INDIRECT($AE$17&amp;"!$B$2:$R$2"),0),1,1,$AE$17))</f>
        <v>0</v>
      </c>
      <c r="BD103" s="9" cm="1">
        <f t="array" aca="1" ref="BD103" ca="1">INDIRECT(ADDRESS(2+$AZ103,1+MATCH($AE$9,INDIRECT($AE$18&amp;"!$B$2:$R$2"),0),1,1,$AE$18))</f>
        <v>0</v>
      </c>
      <c r="BH103" s="9">
        <v>94</v>
      </c>
      <c r="BI103" s="11">
        <f t="shared" si="198"/>
        <v>36892.968749999774</v>
      </c>
      <c r="BJ103" s="9" t="b">
        <f t="shared" ca="1" si="185"/>
        <v>1</v>
      </c>
      <c r="BK103" s="9" t="b">
        <f t="shared" ca="1" si="186"/>
        <v>1</v>
      </c>
      <c r="BL103" s="9" t="b">
        <f t="shared" ca="1" si="187"/>
        <v>1</v>
      </c>
      <c r="BO103" s="9">
        <v>94</v>
      </c>
      <c r="BP103" s="11">
        <f t="shared" si="199"/>
        <v>36892.968749999774</v>
      </c>
      <c r="BQ103" s="9" t="str">
        <f t="shared" ca="1" si="188"/>
        <v/>
      </c>
      <c r="BR103" s="9" t="str">
        <f t="shared" ca="1" si="189"/>
        <v/>
      </c>
      <c r="BS103" s="9" t="str">
        <f t="shared" ca="1" si="190"/>
        <v/>
      </c>
      <c r="BV103" s="9">
        <v>94</v>
      </c>
      <c r="BW103" s="11">
        <f t="shared" si="200"/>
        <v>36892.968749999774</v>
      </c>
      <c r="BX103" s="9" t="str">
        <f t="shared" ca="1" si="191"/>
        <v/>
      </c>
      <c r="BY103" s="9" t="str">
        <f t="shared" ca="1" si="192"/>
        <v/>
      </c>
      <c r="BZ103" s="9" t="str">
        <f t="shared" ca="1" si="193"/>
        <v/>
      </c>
      <c r="CC103" s="9">
        <v>94</v>
      </c>
      <c r="CD103" s="11">
        <f t="shared" si="201"/>
        <v>36892.968749999774</v>
      </c>
      <c r="CE103" s="9" t="str">
        <f t="shared" ca="1" si="194"/>
        <v/>
      </c>
      <c r="CF103" s="9" t="str">
        <f t="shared" ca="1" si="195"/>
        <v/>
      </c>
      <c r="CG103" s="9" t="str">
        <f t="shared" ca="1" si="196"/>
        <v/>
      </c>
      <c r="CK103" s="12"/>
      <c r="CR103" s="12"/>
      <c r="CY103" s="12"/>
      <c r="DF103" s="12"/>
    </row>
    <row r="104" spans="38:110" ht="16.5" customHeight="1">
      <c r="AL104" s="12"/>
      <c r="AS104" s="12"/>
      <c r="AZ104" s="9">
        <v>95</v>
      </c>
      <c r="BA104" s="11">
        <f t="shared" si="197"/>
        <v>36892.979166666439</v>
      </c>
      <c r="BB104" s="9" cm="1">
        <f t="array" aca="1" ref="BB104" ca="1">INDIRECT(ADDRESS(2+$AZ104,1+MATCH($AE$9,INDIRECT($AE$16&amp;"!$B$2:$R$2"),0),1,1,$AE$16))</f>
        <v>0</v>
      </c>
      <c r="BC104" s="9" cm="1">
        <f t="array" aca="1" ref="BC104" ca="1">INDIRECT(ADDRESS(2+$AZ104,1+MATCH($AE$9,INDIRECT($AE$17&amp;"!$B$2:$R$2"),0),1,1,$AE$17))</f>
        <v>0</v>
      </c>
      <c r="BD104" s="9" cm="1">
        <f t="array" aca="1" ref="BD104" ca="1">INDIRECT(ADDRESS(2+$AZ104,1+MATCH($AE$9,INDIRECT($AE$18&amp;"!$B$2:$R$2"),0),1,1,$AE$18))</f>
        <v>0</v>
      </c>
      <c r="BH104" s="9">
        <v>95</v>
      </c>
      <c r="BI104" s="11">
        <f t="shared" si="198"/>
        <v>36892.979166666439</v>
      </c>
      <c r="BJ104" s="9" t="b">
        <f t="shared" ca="1" si="185"/>
        <v>1</v>
      </c>
      <c r="BK104" s="9" t="b">
        <f t="shared" ca="1" si="186"/>
        <v>1</v>
      </c>
      <c r="BL104" s="9" t="b">
        <f t="shared" ca="1" si="187"/>
        <v>1</v>
      </c>
      <c r="BO104" s="9">
        <v>95</v>
      </c>
      <c r="BP104" s="11">
        <f t="shared" si="199"/>
        <v>36892.979166666439</v>
      </c>
      <c r="BQ104" s="9" t="str">
        <f t="shared" ca="1" si="188"/>
        <v/>
      </c>
      <c r="BR104" s="9" t="str">
        <f t="shared" ca="1" si="189"/>
        <v/>
      </c>
      <c r="BS104" s="9" t="str">
        <f t="shared" ca="1" si="190"/>
        <v/>
      </c>
      <c r="BV104" s="9">
        <v>95</v>
      </c>
      <c r="BW104" s="11">
        <f t="shared" si="200"/>
        <v>36892.979166666439</v>
      </c>
      <c r="BX104" s="9" t="str">
        <f t="shared" ca="1" si="191"/>
        <v/>
      </c>
      <c r="BY104" s="9" t="str">
        <f t="shared" ca="1" si="192"/>
        <v/>
      </c>
      <c r="BZ104" s="9" t="str">
        <f t="shared" ca="1" si="193"/>
        <v/>
      </c>
      <c r="CC104" s="9">
        <v>95</v>
      </c>
      <c r="CD104" s="11">
        <f t="shared" si="201"/>
        <v>36892.979166666439</v>
      </c>
      <c r="CE104" s="9" t="str">
        <f t="shared" ca="1" si="194"/>
        <v/>
      </c>
      <c r="CF104" s="9" t="str">
        <f t="shared" ca="1" si="195"/>
        <v/>
      </c>
      <c r="CG104" s="9" t="str">
        <f t="shared" ca="1" si="196"/>
        <v/>
      </c>
      <c r="CK104" s="12"/>
      <c r="CR104" s="12"/>
      <c r="CY104" s="12"/>
      <c r="DF104" s="12"/>
    </row>
    <row r="105" spans="38:110" ht="16.5" customHeight="1">
      <c r="AL105" s="12"/>
      <c r="AS105" s="12"/>
      <c r="AZ105" s="9">
        <v>96</v>
      </c>
      <c r="BA105" s="11">
        <f t="shared" si="197"/>
        <v>36892.989583333103</v>
      </c>
      <c r="BB105" s="9" cm="1">
        <f t="array" aca="1" ref="BB105" ca="1">INDIRECT(ADDRESS(2+$AZ105,1+MATCH($AE$9,INDIRECT($AE$16&amp;"!$B$2:$R$2"),0),1,1,$AE$16))</f>
        <v>0</v>
      </c>
      <c r="BC105" s="9" cm="1">
        <f t="array" aca="1" ref="BC105" ca="1">INDIRECT(ADDRESS(2+$AZ105,1+MATCH($AE$9,INDIRECT($AE$17&amp;"!$B$2:$R$2"),0),1,1,$AE$17))</f>
        <v>0</v>
      </c>
      <c r="BD105" s="9" cm="1">
        <f t="array" aca="1" ref="BD105" ca="1">INDIRECT(ADDRESS(2+$AZ105,1+MATCH($AE$9,INDIRECT($AE$18&amp;"!$B$2:$R$2"),0),1,1,$AE$18))</f>
        <v>0</v>
      </c>
      <c r="BH105" s="9">
        <v>96</v>
      </c>
      <c r="BI105" s="11">
        <f t="shared" si="198"/>
        <v>36892.989583333103</v>
      </c>
      <c r="BJ105" s="9" t="b">
        <f t="shared" ca="1" si="185"/>
        <v>1</v>
      </c>
      <c r="BK105" s="9" t="b">
        <f t="shared" ca="1" si="186"/>
        <v>1</v>
      </c>
      <c r="BL105" s="9" t="b">
        <f t="shared" ca="1" si="187"/>
        <v>1</v>
      </c>
      <c r="BO105" s="9">
        <v>96</v>
      </c>
      <c r="BP105" s="11">
        <f t="shared" si="199"/>
        <v>36892.989583333103</v>
      </c>
      <c r="BQ105" s="9" t="str">
        <f t="shared" ca="1" si="188"/>
        <v/>
      </c>
      <c r="BR105" s="9" t="str">
        <f t="shared" ca="1" si="189"/>
        <v/>
      </c>
      <c r="BS105" s="9" t="str">
        <f t="shared" ca="1" si="190"/>
        <v/>
      </c>
      <c r="BV105" s="9">
        <v>96</v>
      </c>
      <c r="BW105" s="11">
        <f t="shared" si="200"/>
        <v>36892.989583333103</v>
      </c>
      <c r="BX105" s="9" t="str">
        <f t="shared" ca="1" si="191"/>
        <v/>
      </c>
      <c r="BY105" s="9" t="str">
        <f t="shared" ca="1" si="192"/>
        <v/>
      </c>
      <c r="BZ105" s="9" t="str">
        <f t="shared" ca="1" si="193"/>
        <v/>
      </c>
      <c r="CC105" s="9">
        <v>96</v>
      </c>
      <c r="CD105" s="11">
        <f t="shared" si="201"/>
        <v>36892.989583333103</v>
      </c>
      <c r="CE105" s="9" t="str">
        <f t="shared" ca="1" si="194"/>
        <v/>
      </c>
      <c r="CF105" s="9" t="str">
        <f t="shared" ca="1" si="195"/>
        <v/>
      </c>
      <c r="CG105" s="9" t="str">
        <f t="shared" ca="1" si="196"/>
        <v/>
      </c>
      <c r="CK105" s="12"/>
      <c r="CR105" s="12"/>
      <c r="CY105" s="12"/>
      <c r="DF105" s="12"/>
    </row>
    <row r="106" spans="38:110" ht="16.5" customHeight="1">
      <c r="AL106" s="12"/>
      <c r="AS106" s="12"/>
      <c r="BA106" s="12"/>
      <c r="BI106" s="12"/>
      <c r="BP106" s="12"/>
      <c r="BW106" s="12"/>
      <c r="CD106" s="12"/>
      <c r="CK106" s="12"/>
      <c r="CR106" s="12"/>
      <c r="CY106" s="12"/>
      <c r="DF106" s="12"/>
    </row>
    <row r="107" spans="38:110" ht="16.5" customHeight="1">
      <c r="AL107" s="12"/>
      <c r="AS107" s="12"/>
      <c r="BA107" s="12"/>
      <c r="BI107" s="12"/>
      <c r="BP107" s="12"/>
      <c r="BW107" s="12"/>
      <c r="CD107" s="12"/>
      <c r="CK107" s="12"/>
      <c r="CR107" s="12"/>
      <c r="CY107" s="12"/>
      <c r="DF107" s="12"/>
    </row>
    <row r="108" spans="38:110" ht="16.5" customHeight="1">
      <c r="AL108" s="12"/>
      <c r="AS108" s="12"/>
      <c r="BA108" s="12"/>
      <c r="BI108" s="12"/>
      <c r="BP108" s="12"/>
      <c r="BW108" s="12"/>
      <c r="CD108" s="12"/>
      <c r="CK108" s="12"/>
      <c r="CR108" s="12"/>
      <c r="CY108" s="12"/>
      <c r="DF108" s="12"/>
    </row>
    <row r="109" spans="38:110" ht="16.5" customHeight="1">
      <c r="AL109" s="12"/>
      <c r="AS109" s="12"/>
      <c r="BA109" s="12"/>
      <c r="BI109" s="12"/>
      <c r="BP109" s="12"/>
      <c r="BW109" s="12"/>
      <c r="CD109" s="12"/>
      <c r="CK109" s="12"/>
      <c r="CR109" s="12"/>
      <c r="CY109" s="12"/>
      <c r="DF109" s="12"/>
    </row>
    <row r="110" spans="38:110" ht="16.5" customHeight="1">
      <c r="AL110" s="12"/>
      <c r="AS110" s="12"/>
      <c r="BA110" s="12"/>
      <c r="BI110" s="12"/>
      <c r="BP110" s="12"/>
      <c r="BW110" s="12"/>
      <c r="CD110" s="12"/>
      <c r="CK110" s="12"/>
      <c r="CR110" s="12"/>
      <c r="CY110" s="12"/>
      <c r="DF110" s="12"/>
    </row>
    <row r="111" spans="38:110" ht="16.5" customHeight="1">
      <c r="AL111" s="12"/>
      <c r="AS111" s="12"/>
      <c r="BA111" s="12"/>
      <c r="BI111" s="12"/>
      <c r="BP111" s="12"/>
      <c r="BW111" s="12"/>
      <c r="CD111" s="12"/>
      <c r="CK111" s="12"/>
      <c r="CR111" s="12"/>
      <c r="CY111" s="12"/>
      <c r="DF111" s="12"/>
    </row>
    <row r="112" spans="38:110" ht="16.5" customHeight="1">
      <c r="AL112" s="12"/>
      <c r="AS112" s="12"/>
      <c r="BA112" s="12"/>
      <c r="BI112" s="12"/>
      <c r="BP112" s="12"/>
      <c r="BW112" s="12"/>
      <c r="CD112" s="12"/>
      <c r="CK112" s="12"/>
      <c r="CR112" s="12"/>
      <c r="CY112" s="12"/>
      <c r="DF112" s="12"/>
    </row>
    <row r="113" spans="38:110" ht="16.5" customHeight="1">
      <c r="AL113" s="12"/>
      <c r="AS113" s="12"/>
      <c r="BA113" s="12"/>
      <c r="BI113" s="12"/>
      <c r="BP113" s="12"/>
      <c r="BW113" s="12"/>
      <c r="CD113" s="12"/>
      <c r="CK113" s="12"/>
      <c r="CR113" s="12"/>
      <c r="CY113" s="12"/>
      <c r="DF113" s="12"/>
    </row>
    <row r="114" spans="38:110" ht="16.5" customHeight="1">
      <c r="AL114" s="12"/>
      <c r="AS114" s="12"/>
      <c r="BA114" s="12"/>
      <c r="BI114" s="12"/>
      <c r="BP114" s="12"/>
      <c r="BW114" s="12"/>
      <c r="CD114" s="12"/>
      <c r="CK114" s="12"/>
      <c r="CR114" s="12"/>
      <c r="CY114" s="12"/>
      <c r="DF114" s="12"/>
    </row>
    <row r="115" spans="38:110" ht="16.5" customHeight="1">
      <c r="AL115" s="12"/>
      <c r="AS115" s="12"/>
      <c r="BA115" s="12"/>
      <c r="BI115" s="12"/>
      <c r="BP115" s="12"/>
      <c r="BW115" s="12"/>
      <c r="CD115" s="12"/>
      <c r="CK115" s="12"/>
      <c r="CR115" s="12"/>
      <c r="CY115" s="12"/>
      <c r="DF115" s="12"/>
    </row>
    <row r="116" spans="38:110" ht="16.5" customHeight="1">
      <c r="AL116" s="12"/>
      <c r="AS116" s="12"/>
      <c r="BA116" s="12"/>
      <c r="BI116" s="12"/>
      <c r="BP116" s="12"/>
      <c r="BW116" s="12"/>
      <c r="CD116" s="12"/>
      <c r="CK116" s="12"/>
      <c r="CR116" s="12"/>
      <c r="CY116" s="12"/>
      <c r="DF116" s="12"/>
    </row>
    <row r="117" spans="38:110" ht="16.5" customHeight="1">
      <c r="AL117" s="12"/>
      <c r="AS117" s="12"/>
      <c r="BA117" s="12"/>
      <c r="BI117" s="12"/>
      <c r="BP117" s="12"/>
      <c r="BW117" s="12"/>
      <c r="CD117" s="12"/>
      <c r="CK117" s="12"/>
      <c r="CR117" s="12"/>
      <c r="CY117" s="12"/>
      <c r="DF117" s="12"/>
    </row>
    <row r="118" spans="38:110" ht="16.5" customHeight="1">
      <c r="AL118" s="12"/>
      <c r="AS118" s="12"/>
      <c r="BA118" s="12"/>
      <c r="BI118" s="12"/>
      <c r="BP118" s="12"/>
      <c r="BW118" s="12"/>
      <c r="CD118" s="12"/>
      <c r="CK118" s="12"/>
      <c r="CR118" s="12"/>
      <c r="CY118" s="12"/>
      <c r="DF118" s="12"/>
    </row>
    <row r="119" spans="38:110" ht="16.5" customHeight="1">
      <c r="AL119" s="12"/>
      <c r="AS119" s="12"/>
      <c r="BA119" s="12"/>
      <c r="BI119" s="12"/>
      <c r="BP119" s="12"/>
      <c r="BW119" s="12"/>
      <c r="CD119" s="12"/>
      <c r="CK119" s="12"/>
      <c r="CR119" s="12"/>
      <c r="CY119" s="12"/>
      <c r="DF119" s="12"/>
    </row>
    <row r="120" spans="38:110" ht="16.5" customHeight="1">
      <c r="AL120" s="12"/>
      <c r="AS120" s="12"/>
      <c r="BA120" s="12"/>
      <c r="BI120" s="12"/>
      <c r="BP120" s="12"/>
      <c r="BW120" s="12"/>
      <c r="CD120" s="12"/>
      <c r="CK120" s="12"/>
      <c r="CR120" s="12"/>
      <c r="CY120" s="12"/>
      <c r="DF120" s="12"/>
    </row>
    <row r="121" spans="38:110" ht="16.5" customHeight="1">
      <c r="AL121" s="12"/>
      <c r="AS121" s="12"/>
      <c r="BA121" s="12"/>
      <c r="BI121" s="12"/>
      <c r="BP121" s="12"/>
      <c r="BW121" s="12"/>
      <c r="CD121" s="12"/>
      <c r="CK121" s="12"/>
      <c r="CR121" s="12"/>
      <c r="CY121" s="12"/>
      <c r="DF121" s="12"/>
    </row>
    <row r="122" spans="38:110" ht="16.5" customHeight="1">
      <c r="AL122" s="12"/>
      <c r="AS122" s="12"/>
      <c r="BA122" s="12"/>
      <c r="BI122" s="12"/>
      <c r="BP122" s="12"/>
      <c r="BW122" s="12"/>
      <c r="CD122" s="12"/>
      <c r="CK122" s="12"/>
      <c r="CR122" s="12"/>
      <c r="CY122" s="12"/>
      <c r="DF122" s="12"/>
    </row>
    <row r="123" spans="38:110" ht="16.5" customHeight="1">
      <c r="AL123" s="12"/>
      <c r="AS123" s="12"/>
      <c r="BA123" s="12"/>
      <c r="BI123" s="12"/>
      <c r="BP123" s="12"/>
      <c r="BW123" s="12"/>
      <c r="CD123" s="12"/>
      <c r="CK123" s="12"/>
      <c r="CR123" s="12"/>
      <c r="CY123" s="12"/>
      <c r="DF123" s="12"/>
    </row>
    <row r="124" spans="38:110" ht="16.5" customHeight="1">
      <c r="AL124" s="12"/>
      <c r="AS124" s="12"/>
      <c r="BA124" s="12"/>
      <c r="BI124" s="12"/>
      <c r="BP124" s="12"/>
      <c r="BW124" s="12"/>
      <c r="CD124" s="12"/>
      <c r="CK124" s="12"/>
      <c r="CR124" s="12"/>
      <c r="CY124" s="12"/>
      <c r="DF124" s="12"/>
    </row>
    <row r="125" spans="38:110" ht="16.5" customHeight="1">
      <c r="AL125" s="12"/>
      <c r="AS125" s="12"/>
      <c r="BA125" s="12"/>
      <c r="BI125" s="12"/>
      <c r="BP125" s="12"/>
      <c r="BW125" s="12"/>
      <c r="CD125" s="12"/>
      <c r="CK125" s="12"/>
      <c r="CR125" s="12"/>
      <c r="CY125" s="12"/>
      <c r="DF125" s="12"/>
    </row>
    <row r="126" spans="38:110" ht="16.5" customHeight="1">
      <c r="AL126" s="12"/>
      <c r="AS126" s="12"/>
      <c r="BA126" s="12"/>
      <c r="BI126" s="12"/>
      <c r="BP126" s="12"/>
      <c r="BW126" s="12"/>
      <c r="CD126" s="12"/>
      <c r="CK126" s="12"/>
      <c r="CR126" s="12"/>
      <c r="CY126" s="12"/>
      <c r="DF126" s="12"/>
    </row>
    <row r="127" spans="38:110" ht="16.5" customHeight="1">
      <c r="AL127" s="12"/>
      <c r="AS127" s="12"/>
      <c r="BA127" s="12"/>
      <c r="BI127" s="12"/>
      <c r="BP127" s="12"/>
      <c r="BW127" s="12"/>
      <c r="CD127" s="12"/>
      <c r="CK127" s="12"/>
      <c r="CR127" s="12"/>
      <c r="CY127" s="12"/>
      <c r="DF127" s="12"/>
    </row>
    <row r="128" spans="38:110" ht="16.5" customHeight="1">
      <c r="AL128" s="12"/>
      <c r="AS128" s="12"/>
      <c r="BA128" s="12"/>
      <c r="BI128" s="12"/>
      <c r="BP128" s="12"/>
      <c r="BW128" s="12"/>
      <c r="CD128" s="12"/>
      <c r="CK128" s="12"/>
      <c r="CR128" s="12"/>
      <c r="CY128" s="12"/>
      <c r="DF128" s="12"/>
    </row>
    <row r="129" spans="38:110" ht="16.5" customHeight="1">
      <c r="AL129" s="12"/>
      <c r="AS129" s="12"/>
      <c r="BA129" s="12"/>
      <c r="BI129" s="12"/>
      <c r="BP129" s="12"/>
      <c r="BW129" s="12"/>
      <c r="CD129" s="12"/>
      <c r="CK129" s="12"/>
      <c r="CR129" s="12"/>
      <c r="CY129" s="12"/>
      <c r="DF129" s="12"/>
    </row>
    <row r="130" spans="38:110" ht="16.5" customHeight="1">
      <c r="AL130" s="12"/>
      <c r="AS130" s="12"/>
      <c r="BA130" s="12"/>
      <c r="BI130" s="12"/>
      <c r="BP130" s="12"/>
      <c r="BW130" s="12"/>
      <c r="CD130" s="12"/>
      <c r="CK130" s="12"/>
      <c r="CR130" s="12"/>
      <c r="CY130" s="12"/>
      <c r="DF130" s="12"/>
    </row>
    <row r="131" spans="38:110" ht="16.5" customHeight="1">
      <c r="AL131" s="12"/>
      <c r="AS131" s="12"/>
      <c r="BA131" s="12"/>
      <c r="BI131" s="12"/>
      <c r="BP131" s="12"/>
      <c r="BW131" s="12"/>
      <c r="CD131" s="12"/>
      <c r="CK131" s="12"/>
      <c r="CR131" s="12"/>
      <c r="CY131" s="12"/>
      <c r="DF131" s="12"/>
    </row>
    <row r="132" spans="38:110" ht="16.5" customHeight="1">
      <c r="AL132" s="12"/>
      <c r="AS132" s="12"/>
      <c r="BA132" s="12"/>
      <c r="BI132" s="12"/>
      <c r="BP132" s="12"/>
      <c r="BW132" s="12"/>
      <c r="CD132" s="12"/>
      <c r="CK132" s="12"/>
      <c r="CR132" s="12"/>
      <c r="CY132" s="12"/>
      <c r="DF132" s="12"/>
    </row>
    <row r="133" spans="38:110" ht="16.5" customHeight="1">
      <c r="AL133" s="12"/>
      <c r="AS133" s="12"/>
      <c r="BA133" s="12"/>
      <c r="BI133" s="12"/>
      <c r="BP133" s="12"/>
      <c r="BW133" s="12"/>
      <c r="CD133" s="12"/>
      <c r="CK133" s="12"/>
      <c r="CR133" s="12"/>
      <c r="CY133" s="12"/>
      <c r="DF133" s="12"/>
    </row>
    <row r="134" spans="38:110" ht="16.5" customHeight="1">
      <c r="AL134" s="12"/>
      <c r="AS134" s="12"/>
      <c r="BA134" s="12"/>
      <c r="BI134" s="12"/>
      <c r="BP134" s="12"/>
      <c r="BW134" s="12"/>
      <c r="CD134" s="12"/>
      <c r="CK134" s="12"/>
      <c r="CR134" s="12"/>
      <c r="CY134" s="12"/>
      <c r="DF134" s="12"/>
    </row>
    <row r="135" spans="38:110" ht="16.5" customHeight="1">
      <c r="AL135" s="12"/>
      <c r="AS135" s="12"/>
      <c r="BA135" s="12"/>
      <c r="BI135" s="12"/>
      <c r="BP135" s="12"/>
      <c r="BW135" s="12"/>
      <c r="CD135" s="12"/>
      <c r="CK135" s="12"/>
      <c r="CR135" s="12"/>
      <c r="CY135" s="12"/>
      <c r="DF135" s="12"/>
    </row>
    <row r="136" spans="38:110" ht="16.5" customHeight="1">
      <c r="AL136" s="12"/>
      <c r="AS136" s="12"/>
      <c r="BA136" s="12"/>
      <c r="BI136" s="12"/>
      <c r="BP136" s="12"/>
      <c r="BW136" s="12"/>
      <c r="CD136" s="12"/>
      <c r="CK136" s="12"/>
      <c r="CR136" s="12"/>
      <c r="CY136" s="12"/>
      <c r="DF136" s="12"/>
    </row>
    <row r="137" spans="38:110" ht="16.5" customHeight="1">
      <c r="AL137" s="12"/>
      <c r="AS137" s="12"/>
      <c r="BA137" s="12"/>
      <c r="BI137" s="12"/>
      <c r="BP137" s="12"/>
      <c r="BW137" s="12"/>
      <c r="CD137" s="12"/>
      <c r="CK137" s="12"/>
      <c r="CR137" s="12"/>
      <c r="CY137" s="12"/>
      <c r="DF137" s="12"/>
    </row>
    <row r="138" spans="38:110" ht="16.5" customHeight="1">
      <c r="AL138" s="12"/>
      <c r="AS138" s="12"/>
      <c r="BA138" s="12"/>
      <c r="BI138" s="12"/>
      <c r="BP138" s="12"/>
      <c r="BW138" s="12"/>
      <c r="CD138" s="12"/>
      <c r="CK138" s="12"/>
      <c r="CR138" s="12"/>
      <c r="CY138" s="12"/>
      <c r="DF138" s="12"/>
    </row>
    <row r="139" spans="38:110" ht="16.5" customHeight="1">
      <c r="AL139" s="12"/>
      <c r="AS139" s="12"/>
      <c r="BA139" s="12"/>
      <c r="BI139" s="12"/>
      <c r="BP139" s="12"/>
      <c r="BW139" s="12"/>
      <c r="CD139" s="12"/>
      <c r="CK139" s="12"/>
      <c r="CR139" s="12"/>
      <c r="CY139" s="12"/>
      <c r="DF139" s="12"/>
    </row>
    <row r="140" spans="38:110" ht="16.5" customHeight="1">
      <c r="AL140" s="12"/>
      <c r="AS140" s="12"/>
      <c r="BA140" s="12"/>
      <c r="BI140" s="12"/>
      <c r="BP140" s="12"/>
      <c r="BW140" s="12"/>
      <c r="CD140" s="12"/>
      <c r="CK140" s="12"/>
      <c r="CR140" s="12"/>
      <c r="CY140" s="12"/>
      <c r="DF140" s="12"/>
    </row>
    <row r="141" spans="38:110" ht="16.5" customHeight="1">
      <c r="AL141" s="12"/>
      <c r="AS141" s="12"/>
      <c r="BA141" s="12"/>
      <c r="BI141" s="12"/>
      <c r="BP141" s="12"/>
      <c r="BW141" s="12"/>
      <c r="CD141" s="12"/>
      <c r="CK141" s="12"/>
      <c r="CR141" s="12"/>
      <c r="CY141" s="12"/>
      <c r="DF141" s="12"/>
    </row>
    <row r="142" spans="38:110" ht="16.5" customHeight="1">
      <c r="AL142" s="12"/>
      <c r="AS142" s="12"/>
      <c r="BA142" s="12"/>
      <c r="BI142" s="12"/>
      <c r="BP142" s="12"/>
      <c r="BW142" s="12"/>
      <c r="CD142" s="12"/>
      <c r="CK142" s="12"/>
      <c r="CR142" s="12"/>
      <c r="CY142" s="12"/>
      <c r="DF142" s="12"/>
    </row>
    <row r="143" spans="38:110" ht="16.5" customHeight="1">
      <c r="AL143" s="12"/>
      <c r="AS143" s="12"/>
      <c r="BA143" s="12"/>
      <c r="BI143" s="12"/>
      <c r="BP143" s="12"/>
      <c r="BW143" s="12"/>
      <c r="CD143" s="12"/>
      <c r="CK143" s="12"/>
      <c r="CR143" s="12"/>
      <c r="CY143" s="12"/>
      <c r="DF143" s="12"/>
    </row>
    <row r="144" spans="38:110" ht="16.5" customHeight="1">
      <c r="AL144" s="12"/>
      <c r="AS144" s="12"/>
      <c r="BA144" s="12"/>
      <c r="BI144" s="12"/>
      <c r="BP144" s="12"/>
      <c r="BW144" s="12"/>
      <c r="CD144" s="12"/>
      <c r="CK144" s="12"/>
      <c r="CR144" s="12"/>
      <c r="CY144" s="12"/>
      <c r="DF144" s="12"/>
    </row>
    <row r="145" spans="38:110" ht="16.5" customHeight="1">
      <c r="AL145" s="12"/>
      <c r="AS145" s="12"/>
      <c r="BA145" s="12"/>
      <c r="BI145" s="12"/>
      <c r="BP145" s="12"/>
      <c r="BW145" s="12"/>
      <c r="CD145" s="12"/>
      <c r="CK145" s="12"/>
      <c r="CR145" s="12"/>
      <c r="CY145" s="12"/>
      <c r="DF145" s="12"/>
    </row>
    <row r="146" spans="38:110" ht="16.5" customHeight="1">
      <c r="AL146" s="12"/>
      <c r="AS146" s="12"/>
      <c r="BA146" s="12"/>
      <c r="BI146" s="12"/>
      <c r="BP146" s="12"/>
      <c r="BW146" s="12"/>
      <c r="CD146" s="12"/>
      <c r="CK146" s="12"/>
      <c r="CR146" s="12"/>
      <c r="CY146" s="12"/>
      <c r="DF146" s="12"/>
    </row>
    <row r="147" spans="38:110" ht="16.5" customHeight="1">
      <c r="AL147" s="12"/>
      <c r="AS147" s="12"/>
      <c r="BA147" s="12"/>
      <c r="BI147" s="12"/>
      <c r="BP147" s="12"/>
      <c r="BW147" s="12"/>
      <c r="CD147" s="12"/>
      <c r="CK147" s="12"/>
      <c r="CR147" s="12"/>
      <c r="CY147" s="12"/>
      <c r="DF147" s="12"/>
    </row>
    <row r="148" spans="38:110" ht="16.5" customHeight="1">
      <c r="AL148" s="12"/>
      <c r="AS148" s="12"/>
      <c r="BA148" s="12"/>
      <c r="BI148" s="12"/>
      <c r="BP148" s="12"/>
      <c r="BW148" s="12"/>
      <c r="CD148" s="12"/>
      <c r="CK148" s="12"/>
      <c r="CR148" s="12"/>
      <c r="CY148" s="12"/>
      <c r="DF148" s="12"/>
    </row>
    <row r="149" spans="38:110" ht="16.5" customHeight="1">
      <c r="AL149" s="12"/>
      <c r="AS149" s="12"/>
      <c r="BA149" s="12"/>
      <c r="BI149" s="12"/>
      <c r="BP149" s="12"/>
      <c r="BW149" s="12"/>
      <c r="CD149" s="12"/>
      <c r="CK149" s="12"/>
      <c r="CR149" s="12"/>
      <c r="CY149" s="12"/>
      <c r="DF149" s="12"/>
    </row>
    <row r="150" spans="38:110" ht="16.5" customHeight="1">
      <c r="AL150" s="12"/>
      <c r="AS150" s="12"/>
      <c r="BA150" s="12"/>
      <c r="BI150" s="12"/>
      <c r="BP150" s="12"/>
      <c r="BW150" s="12"/>
      <c r="CD150" s="12"/>
      <c r="CK150" s="12"/>
      <c r="CR150" s="12"/>
      <c r="CY150" s="12"/>
      <c r="DF150" s="12"/>
    </row>
    <row r="151" spans="38:110" ht="16.5" customHeight="1">
      <c r="AL151" s="12"/>
      <c r="AS151" s="12"/>
      <c r="BA151" s="12"/>
      <c r="BI151" s="12"/>
      <c r="BP151" s="12"/>
      <c r="BW151" s="12"/>
      <c r="CD151" s="12"/>
      <c r="CK151" s="12"/>
      <c r="CR151" s="12"/>
      <c r="CY151" s="12"/>
      <c r="DF151" s="12"/>
    </row>
    <row r="152" spans="38:110" ht="16.5" customHeight="1">
      <c r="AL152" s="12"/>
      <c r="AS152" s="12"/>
      <c r="BA152" s="12"/>
      <c r="BI152" s="12"/>
      <c r="BP152" s="12"/>
      <c r="BW152" s="12"/>
      <c r="CD152" s="12"/>
      <c r="CK152" s="12"/>
      <c r="CR152" s="12"/>
      <c r="CY152" s="12"/>
      <c r="DF152" s="12"/>
    </row>
    <row r="153" spans="38:110" ht="16.5" customHeight="1">
      <c r="AL153" s="12"/>
      <c r="AS153" s="12"/>
      <c r="BA153" s="12"/>
      <c r="BI153" s="12"/>
      <c r="BP153" s="12"/>
      <c r="BW153" s="12"/>
      <c r="CD153" s="12"/>
      <c r="CK153" s="12"/>
      <c r="CR153" s="12"/>
      <c r="CY153" s="12"/>
      <c r="DF153" s="12"/>
    </row>
    <row r="154" spans="38:110" ht="16.5" customHeight="1">
      <c r="AL154" s="12"/>
      <c r="AS154" s="12"/>
      <c r="BA154" s="12"/>
      <c r="BI154" s="12"/>
      <c r="BP154" s="12"/>
      <c r="BW154" s="12"/>
      <c r="CD154" s="12"/>
      <c r="CK154" s="12"/>
      <c r="CR154" s="12"/>
      <c r="CY154" s="12"/>
      <c r="DF154" s="12"/>
    </row>
    <row r="155" spans="38:110" ht="16.5" customHeight="1">
      <c r="AL155" s="12"/>
      <c r="AS155" s="12"/>
      <c r="BA155" s="12"/>
      <c r="BI155" s="12"/>
      <c r="BP155" s="12"/>
      <c r="BW155" s="12"/>
      <c r="CD155" s="12"/>
      <c r="CK155" s="12"/>
      <c r="CR155" s="12"/>
      <c r="CY155" s="12"/>
      <c r="DF155" s="12"/>
    </row>
    <row r="156" spans="38:110" ht="16.5" customHeight="1">
      <c r="AL156" s="12"/>
      <c r="AS156" s="12"/>
      <c r="BA156" s="12"/>
      <c r="BI156" s="12"/>
      <c r="BP156" s="12"/>
      <c r="BW156" s="12"/>
      <c r="CD156" s="12"/>
      <c r="CK156" s="12"/>
      <c r="CR156" s="12"/>
      <c r="CY156" s="12"/>
      <c r="DF156" s="12"/>
    </row>
    <row r="157" spans="38:110" ht="16.5" customHeight="1">
      <c r="AL157" s="12"/>
      <c r="AS157" s="12"/>
      <c r="BA157" s="12"/>
      <c r="BI157" s="12"/>
      <c r="BP157" s="12"/>
      <c r="BW157" s="12"/>
      <c r="CD157" s="12"/>
      <c r="CK157" s="12"/>
      <c r="CR157" s="12"/>
      <c r="CY157" s="12"/>
      <c r="DF157" s="12"/>
    </row>
    <row r="158" spans="38:110" ht="16.5" customHeight="1">
      <c r="AL158" s="12"/>
      <c r="AS158" s="12"/>
      <c r="BA158" s="12"/>
      <c r="BI158" s="12"/>
      <c r="BP158" s="12"/>
      <c r="BW158" s="12"/>
      <c r="CD158" s="12"/>
      <c r="CK158" s="12"/>
      <c r="CR158" s="12"/>
      <c r="CY158" s="12"/>
      <c r="DF158" s="12"/>
    </row>
    <row r="159" spans="38:110" ht="16.5" customHeight="1">
      <c r="AL159" s="12"/>
      <c r="AS159" s="12"/>
      <c r="BA159" s="12"/>
      <c r="BI159" s="12"/>
      <c r="BP159" s="12"/>
      <c r="BW159" s="12"/>
      <c r="CD159" s="12"/>
      <c r="CK159" s="12"/>
      <c r="CR159" s="12"/>
      <c r="CY159" s="12"/>
      <c r="DF159" s="12"/>
    </row>
    <row r="160" spans="38:110" ht="16.5" customHeight="1">
      <c r="AL160" s="12"/>
      <c r="AS160" s="12"/>
      <c r="BA160" s="12"/>
      <c r="BI160" s="12"/>
      <c r="BP160" s="12"/>
      <c r="BW160" s="12"/>
      <c r="CD160" s="12"/>
      <c r="CK160" s="12"/>
      <c r="CR160" s="12"/>
      <c r="CY160" s="12"/>
      <c r="DF160" s="12"/>
    </row>
    <row r="161" spans="38:110" ht="16.5" customHeight="1">
      <c r="AL161" s="12"/>
      <c r="AS161" s="12"/>
      <c r="BA161" s="12"/>
      <c r="BI161" s="12"/>
      <c r="BP161" s="12"/>
      <c r="BW161" s="12"/>
      <c r="CD161" s="12"/>
      <c r="CK161" s="12"/>
      <c r="CR161" s="12"/>
      <c r="CY161" s="12"/>
      <c r="DF161" s="12"/>
    </row>
    <row r="162" spans="38:110" ht="16.5" customHeight="1">
      <c r="AL162" s="12"/>
      <c r="AS162" s="12"/>
      <c r="BA162" s="12"/>
      <c r="BI162" s="12"/>
      <c r="BP162" s="12"/>
      <c r="BW162" s="12"/>
      <c r="CD162" s="12"/>
      <c r="CK162" s="12"/>
      <c r="CR162" s="12"/>
      <c r="CY162" s="12"/>
      <c r="DF162" s="12"/>
    </row>
    <row r="163" spans="38:110" ht="16.5" customHeight="1">
      <c r="AL163" s="12"/>
      <c r="AS163" s="12"/>
      <c r="BA163" s="12"/>
      <c r="BI163" s="12"/>
      <c r="BP163" s="12"/>
      <c r="BW163" s="12"/>
      <c r="CD163" s="12"/>
      <c r="CK163" s="12"/>
      <c r="CR163" s="12"/>
      <c r="CY163" s="12"/>
      <c r="DF163" s="12"/>
    </row>
    <row r="164" spans="38:110" ht="16.5" customHeight="1">
      <c r="AL164" s="12"/>
      <c r="AS164" s="12"/>
      <c r="BA164" s="12"/>
      <c r="BI164" s="12"/>
      <c r="BP164" s="12"/>
      <c r="BW164" s="12"/>
      <c r="CD164" s="12"/>
      <c r="CK164" s="12"/>
      <c r="CR164" s="12"/>
      <c r="CY164" s="12"/>
      <c r="DF164" s="12"/>
    </row>
    <row r="165" spans="38:110" ht="16.5" customHeight="1">
      <c r="AL165" s="12"/>
      <c r="AS165" s="12"/>
      <c r="BA165" s="12"/>
      <c r="BI165" s="12"/>
      <c r="BP165" s="12"/>
      <c r="BW165" s="12"/>
      <c r="CD165" s="12"/>
      <c r="CK165" s="12"/>
      <c r="CR165" s="12"/>
      <c r="CY165" s="12"/>
      <c r="DF165" s="12"/>
    </row>
    <row r="166" spans="38:110" ht="16.5" customHeight="1">
      <c r="AL166" s="12"/>
      <c r="AS166" s="12"/>
      <c r="BA166" s="12"/>
      <c r="BI166" s="12"/>
      <c r="BP166" s="12"/>
      <c r="BW166" s="12"/>
      <c r="CD166" s="12"/>
      <c r="CK166" s="12"/>
      <c r="CR166" s="12"/>
      <c r="CY166" s="12"/>
      <c r="DF166" s="12"/>
    </row>
    <row r="167" spans="38:110" ht="16.5" customHeight="1">
      <c r="AL167" s="12"/>
      <c r="AS167" s="12"/>
      <c r="BA167" s="12"/>
      <c r="BI167" s="12"/>
      <c r="BP167" s="12"/>
      <c r="BW167" s="12"/>
      <c r="CD167" s="12"/>
      <c r="CK167" s="12"/>
      <c r="CR167" s="12"/>
      <c r="CY167" s="12"/>
      <c r="DF167" s="12"/>
    </row>
    <row r="168" spans="38:110" ht="16.5" customHeight="1">
      <c r="AL168" s="12"/>
      <c r="AS168" s="12"/>
      <c r="BA168" s="12"/>
      <c r="BI168" s="12"/>
      <c r="BP168" s="12"/>
      <c r="BW168" s="12"/>
      <c r="CD168" s="12"/>
      <c r="CK168" s="12"/>
      <c r="CR168" s="12"/>
      <c r="CY168" s="12"/>
      <c r="DF168" s="12"/>
    </row>
    <row r="169" spans="38:110" ht="16.5" customHeight="1">
      <c r="AL169" s="12"/>
      <c r="AS169" s="12"/>
      <c r="BA169" s="12"/>
      <c r="BI169" s="12"/>
      <c r="BP169" s="12"/>
      <c r="BW169" s="12"/>
      <c r="CD169" s="12"/>
      <c r="CK169" s="12"/>
      <c r="CR169" s="12"/>
      <c r="CY169" s="12"/>
      <c r="DF169" s="12"/>
    </row>
    <row r="170" spans="38:110" ht="16.5" customHeight="1">
      <c r="AL170" s="12"/>
      <c r="AS170" s="12"/>
      <c r="BA170" s="12"/>
      <c r="BI170" s="12"/>
      <c r="BP170" s="12"/>
      <c r="BW170" s="12"/>
      <c r="CD170" s="12"/>
      <c r="CK170" s="12"/>
      <c r="CR170" s="12"/>
      <c r="CY170" s="12"/>
      <c r="DF170" s="12"/>
    </row>
    <row r="171" spans="38:110" ht="16.5" customHeight="1">
      <c r="AL171" s="12"/>
      <c r="AS171" s="12"/>
      <c r="BA171" s="12"/>
      <c r="BI171" s="12"/>
      <c r="BP171" s="12"/>
      <c r="BW171" s="12"/>
      <c r="CD171" s="12"/>
      <c r="CK171" s="12"/>
      <c r="CR171" s="12"/>
      <c r="CY171" s="12"/>
      <c r="DF171" s="12"/>
    </row>
    <row r="172" spans="38:110" ht="16.5" customHeight="1">
      <c r="AL172" s="12"/>
      <c r="AS172" s="12"/>
      <c r="BA172" s="12"/>
      <c r="BI172" s="12"/>
      <c r="BP172" s="12"/>
      <c r="BW172" s="12"/>
      <c r="CD172" s="12"/>
      <c r="CK172" s="12"/>
      <c r="CR172" s="12"/>
      <c r="CY172" s="12"/>
      <c r="DF172" s="12"/>
    </row>
    <row r="173" spans="38:110" ht="16.5" customHeight="1">
      <c r="AL173" s="12"/>
      <c r="AS173" s="12"/>
      <c r="BA173" s="12"/>
      <c r="BI173" s="12"/>
      <c r="BP173" s="12"/>
      <c r="BW173" s="12"/>
      <c r="CD173" s="12"/>
      <c r="CK173" s="12"/>
      <c r="CR173" s="12"/>
      <c r="CY173" s="12"/>
      <c r="DF173" s="12"/>
    </row>
    <row r="174" spans="38:110" ht="16.5" customHeight="1">
      <c r="AL174" s="12"/>
      <c r="AS174" s="12"/>
      <c r="BA174" s="12"/>
      <c r="BI174" s="12"/>
      <c r="BP174" s="12"/>
      <c r="BW174" s="12"/>
      <c r="CD174" s="12"/>
      <c r="CK174" s="12"/>
      <c r="CR174" s="12"/>
      <c r="CY174" s="12"/>
      <c r="DF174" s="12"/>
    </row>
    <row r="175" spans="38:110" ht="16.5" customHeight="1">
      <c r="AL175" s="12"/>
      <c r="AS175" s="12"/>
      <c r="BA175" s="12"/>
      <c r="BI175" s="12"/>
      <c r="BP175" s="12"/>
      <c r="BW175" s="12"/>
      <c r="CD175" s="12"/>
      <c r="CK175" s="12"/>
      <c r="CR175" s="12"/>
      <c r="CY175" s="12"/>
      <c r="DF175" s="12"/>
    </row>
    <row r="176" spans="38:110" ht="16.5" customHeight="1">
      <c r="AL176" s="12"/>
      <c r="AS176" s="12"/>
      <c r="BA176" s="12"/>
      <c r="BI176" s="12"/>
      <c r="BP176" s="12"/>
      <c r="BW176" s="12"/>
      <c r="CD176" s="12"/>
      <c r="CK176" s="12"/>
      <c r="CR176" s="12"/>
      <c r="CY176" s="12"/>
      <c r="DF176" s="12"/>
    </row>
    <row r="177" spans="38:110" ht="16.5" customHeight="1">
      <c r="AL177" s="12"/>
      <c r="AS177" s="12"/>
      <c r="BA177" s="12"/>
      <c r="BI177" s="12"/>
      <c r="BP177" s="12"/>
      <c r="BW177" s="12"/>
      <c r="CD177" s="12"/>
      <c r="CK177" s="12"/>
      <c r="CR177" s="12"/>
      <c r="CY177" s="12"/>
      <c r="DF177" s="12"/>
    </row>
    <row r="178" spans="38:110" ht="16.5" customHeight="1">
      <c r="AL178" s="12"/>
      <c r="AS178" s="12"/>
      <c r="BA178" s="12"/>
      <c r="BI178" s="12"/>
      <c r="BP178" s="12"/>
      <c r="BW178" s="12"/>
      <c r="CD178" s="12"/>
      <c r="CK178" s="12"/>
      <c r="CR178" s="12"/>
      <c r="CY178" s="12"/>
      <c r="DF178" s="12"/>
    </row>
    <row r="179" spans="38:110" ht="16.5" customHeight="1">
      <c r="AL179" s="12"/>
      <c r="AS179" s="12"/>
      <c r="BA179" s="12"/>
      <c r="BI179" s="12"/>
      <c r="BP179" s="12"/>
      <c r="BW179" s="12"/>
      <c r="CD179" s="12"/>
      <c r="CK179" s="12"/>
      <c r="CR179" s="12"/>
      <c r="CY179" s="12"/>
      <c r="DF179" s="12"/>
    </row>
    <row r="180" spans="38:110" ht="16.5" customHeight="1">
      <c r="AL180" s="12"/>
      <c r="AS180" s="12"/>
      <c r="BA180" s="12"/>
      <c r="BI180" s="12"/>
      <c r="BP180" s="12"/>
      <c r="BW180" s="12"/>
      <c r="CD180" s="12"/>
      <c r="CK180" s="12"/>
      <c r="CR180" s="12"/>
      <c r="CY180" s="12"/>
      <c r="DF180" s="12"/>
    </row>
    <row r="181" spans="38:110" ht="16.5" customHeight="1">
      <c r="AL181" s="12"/>
      <c r="AS181" s="12"/>
      <c r="BA181" s="12"/>
      <c r="BI181" s="12"/>
      <c r="BP181" s="12"/>
      <c r="BW181" s="12"/>
      <c r="CD181" s="12"/>
      <c r="CK181" s="12"/>
      <c r="CR181" s="12"/>
      <c r="CY181" s="12"/>
      <c r="DF181" s="12"/>
    </row>
    <row r="182" spans="38:110" ht="16.5" customHeight="1">
      <c r="AL182" s="12"/>
      <c r="AS182" s="12"/>
      <c r="BA182" s="12"/>
      <c r="BI182" s="12"/>
      <c r="BP182" s="12"/>
      <c r="BW182" s="12"/>
      <c r="CD182" s="12"/>
      <c r="CK182" s="12"/>
      <c r="CR182" s="12"/>
      <c r="CY182" s="12"/>
      <c r="DF182" s="12"/>
    </row>
    <row r="183" spans="38:110" ht="16.5" customHeight="1">
      <c r="AL183" s="12"/>
      <c r="AS183" s="12"/>
      <c r="BA183" s="12"/>
      <c r="BI183" s="12"/>
      <c r="BP183" s="12"/>
      <c r="BW183" s="12"/>
      <c r="CD183" s="12"/>
      <c r="CK183" s="12"/>
      <c r="CR183" s="12"/>
      <c r="CY183" s="12"/>
      <c r="DF183" s="12"/>
    </row>
    <row r="184" spans="38:110" ht="16.5" customHeight="1">
      <c r="AL184" s="12"/>
      <c r="AS184" s="12"/>
      <c r="BA184" s="12"/>
      <c r="BI184" s="12"/>
      <c r="BP184" s="12"/>
      <c r="BW184" s="12"/>
      <c r="CD184" s="12"/>
      <c r="CK184" s="12"/>
      <c r="CR184" s="12"/>
      <c r="CY184" s="12"/>
      <c r="DF184" s="12"/>
    </row>
    <row r="185" spans="38:110" ht="16.5" customHeight="1">
      <c r="AL185" s="12"/>
      <c r="AS185" s="12"/>
      <c r="BA185" s="12"/>
      <c r="BI185" s="12"/>
      <c r="BP185" s="12"/>
      <c r="BW185" s="12"/>
      <c r="CD185" s="12"/>
      <c r="CK185" s="12"/>
      <c r="CR185" s="12"/>
      <c r="CY185" s="12"/>
      <c r="DF185" s="12"/>
    </row>
    <row r="186" spans="38:110" ht="16.5" customHeight="1">
      <c r="AL186" s="12"/>
      <c r="AS186" s="12"/>
      <c r="BA186" s="12"/>
      <c r="BI186" s="12"/>
      <c r="BP186" s="12"/>
      <c r="BW186" s="12"/>
      <c r="CD186" s="12"/>
      <c r="CK186" s="12"/>
      <c r="CR186" s="12"/>
      <c r="CY186" s="12"/>
      <c r="DF186" s="12"/>
    </row>
    <row r="187" spans="38:110" ht="16.5" customHeight="1">
      <c r="AL187" s="12"/>
      <c r="AS187" s="12"/>
      <c r="BA187" s="12"/>
      <c r="BI187" s="12"/>
      <c r="BP187" s="12"/>
      <c r="BW187" s="12"/>
      <c r="CD187" s="12"/>
      <c r="CK187" s="12"/>
      <c r="CR187" s="12"/>
      <c r="CY187" s="12"/>
      <c r="DF187" s="12"/>
    </row>
    <row r="188" spans="38:110" ht="16.5" customHeight="1">
      <c r="AL188" s="12"/>
      <c r="AS188" s="12"/>
      <c r="BA188" s="12"/>
      <c r="BI188" s="12"/>
      <c r="BP188" s="12"/>
      <c r="BW188" s="12"/>
      <c r="CD188" s="12"/>
      <c r="CK188" s="12"/>
      <c r="CR188" s="12"/>
      <c r="CY188" s="12"/>
      <c r="DF188" s="12"/>
    </row>
    <row r="189" spans="38:110" ht="16.5" customHeight="1">
      <c r="AL189" s="12"/>
      <c r="AS189" s="12"/>
      <c r="BA189" s="12"/>
      <c r="BI189" s="12"/>
      <c r="BP189" s="12"/>
      <c r="BW189" s="12"/>
      <c r="CD189" s="12"/>
      <c r="CK189" s="12"/>
      <c r="CR189" s="12"/>
      <c r="CY189" s="12"/>
      <c r="DF189" s="12"/>
    </row>
    <row r="190" spans="38:110" ht="16.5" customHeight="1">
      <c r="AL190" s="12"/>
      <c r="AS190" s="12"/>
      <c r="BA190" s="12"/>
      <c r="BI190" s="12"/>
      <c r="BP190" s="12"/>
      <c r="BW190" s="12"/>
      <c r="CD190" s="12"/>
      <c r="CK190" s="12"/>
      <c r="CR190" s="12"/>
      <c r="CY190" s="12"/>
      <c r="DF190" s="12"/>
    </row>
    <row r="191" spans="38:110" ht="16.5" customHeight="1">
      <c r="AL191" s="12"/>
      <c r="AS191" s="12"/>
      <c r="BA191" s="12"/>
      <c r="BI191" s="12"/>
      <c r="BP191" s="12"/>
      <c r="BW191" s="12"/>
      <c r="CD191" s="12"/>
      <c r="CK191" s="12"/>
      <c r="CR191" s="12"/>
      <c r="CY191" s="12"/>
      <c r="DF191" s="12"/>
    </row>
    <row r="192" spans="38:110" ht="16.5" customHeight="1">
      <c r="AL192" s="12"/>
      <c r="AS192" s="12"/>
      <c r="BA192" s="12"/>
      <c r="BI192" s="12"/>
      <c r="BP192" s="12"/>
      <c r="BW192" s="12"/>
      <c r="CD192" s="12"/>
      <c r="CK192" s="12"/>
      <c r="CR192" s="12"/>
      <c r="CY192" s="12"/>
      <c r="DF192" s="12"/>
    </row>
    <row r="193" spans="38:110" ht="16.5" customHeight="1">
      <c r="AL193" s="12"/>
      <c r="AS193" s="12"/>
      <c r="BA193" s="12"/>
      <c r="BI193" s="12"/>
      <c r="BP193" s="12"/>
      <c r="BW193" s="12"/>
      <c r="CD193" s="12"/>
      <c r="CK193" s="12"/>
      <c r="CR193" s="12"/>
      <c r="CY193" s="12"/>
      <c r="DF193" s="12"/>
    </row>
    <row r="194" spans="38:110" ht="16.5" customHeight="1">
      <c r="AL194" s="12"/>
      <c r="AS194" s="12"/>
      <c r="BA194" s="12"/>
      <c r="BI194" s="12"/>
      <c r="BP194" s="12"/>
      <c r="BW194" s="12"/>
      <c r="CD194" s="12"/>
      <c r="CK194" s="12"/>
      <c r="CR194" s="12"/>
      <c r="CY194" s="12"/>
      <c r="DF194" s="12"/>
    </row>
    <row r="195" spans="38:110" ht="16.5" customHeight="1">
      <c r="AL195" s="12"/>
      <c r="AS195" s="12"/>
      <c r="BA195" s="12"/>
      <c r="BI195" s="12"/>
      <c r="BP195" s="12"/>
      <c r="BW195" s="12"/>
      <c r="CD195" s="12"/>
      <c r="CK195" s="12"/>
      <c r="CR195" s="12"/>
      <c r="CY195" s="12"/>
      <c r="DF195" s="12"/>
    </row>
    <row r="196" spans="38:110" ht="16.5" customHeight="1">
      <c r="AL196" s="12"/>
      <c r="AS196" s="12"/>
      <c r="BA196" s="12"/>
      <c r="BI196" s="12"/>
      <c r="BP196" s="12"/>
      <c r="BW196" s="12"/>
      <c r="CD196" s="12"/>
      <c r="CK196" s="12"/>
      <c r="CR196" s="12"/>
      <c r="CY196" s="12"/>
      <c r="DF196" s="12"/>
    </row>
    <row r="197" spans="38:110" ht="16.5" customHeight="1">
      <c r="AL197" s="12"/>
      <c r="AS197" s="12"/>
      <c r="BA197" s="12"/>
      <c r="BI197" s="12"/>
      <c r="BP197" s="12"/>
      <c r="BW197" s="12"/>
      <c r="CD197" s="12"/>
      <c r="CK197" s="12"/>
      <c r="CR197" s="12"/>
      <c r="CY197" s="12"/>
      <c r="DF197" s="12"/>
    </row>
    <row r="198" spans="38:110" ht="16.5" customHeight="1">
      <c r="AL198" s="12"/>
      <c r="AS198" s="12"/>
      <c r="BA198" s="12"/>
      <c r="BI198" s="12"/>
      <c r="BP198" s="12"/>
      <c r="BW198" s="12"/>
      <c r="CD198" s="12"/>
      <c r="CK198" s="12"/>
      <c r="CR198" s="12"/>
      <c r="CY198" s="12"/>
      <c r="DF198" s="12"/>
    </row>
    <row r="199" spans="38:110" ht="16.5" customHeight="1">
      <c r="AL199" s="12"/>
      <c r="AS199" s="12"/>
      <c r="BA199" s="12"/>
      <c r="BI199" s="12"/>
      <c r="BP199" s="12"/>
      <c r="BW199" s="12"/>
      <c r="CD199" s="12"/>
      <c r="CK199" s="12"/>
      <c r="CR199" s="12"/>
      <c r="CY199" s="12"/>
      <c r="DF199" s="12"/>
    </row>
    <row r="200" spans="38:110" ht="16.5" customHeight="1">
      <c r="AL200" s="12"/>
      <c r="AS200" s="12"/>
      <c r="BA200" s="12"/>
      <c r="BI200" s="12"/>
      <c r="BP200" s="12"/>
      <c r="BW200" s="12"/>
      <c r="CD200" s="12"/>
      <c r="CK200" s="12"/>
      <c r="CR200" s="12"/>
      <c r="CY200" s="12"/>
      <c r="DF200" s="12"/>
    </row>
    <row r="201" spans="38:110" ht="16.5" customHeight="1">
      <c r="AL201" s="12"/>
      <c r="AS201" s="12"/>
      <c r="BA201" s="12"/>
      <c r="BI201" s="12"/>
      <c r="BP201" s="12"/>
      <c r="BW201" s="12"/>
      <c r="CD201" s="12"/>
      <c r="CK201" s="12"/>
      <c r="CR201" s="12"/>
      <c r="CY201" s="12"/>
      <c r="DF201" s="12"/>
    </row>
    <row r="202" spans="38:110" ht="16.5" customHeight="1">
      <c r="AL202" s="12"/>
      <c r="AS202" s="12"/>
      <c r="BA202" s="12"/>
      <c r="BI202" s="12"/>
      <c r="BP202" s="12"/>
      <c r="BW202" s="12"/>
      <c r="CD202" s="12"/>
      <c r="CK202" s="12"/>
      <c r="CR202" s="12"/>
      <c r="CY202" s="12"/>
      <c r="DF202" s="12"/>
    </row>
    <row r="203" spans="38:110" ht="16.5" customHeight="1">
      <c r="AL203" s="12"/>
      <c r="AS203" s="12"/>
      <c r="BA203" s="12"/>
      <c r="BI203" s="12"/>
      <c r="BP203" s="12"/>
      <c r="BW203" s="12"/>
      <c r="CD203" s="12"/>
      <c r="CK203" s="12"/>
      <c r="CR203" s="12"/>
      <c r="CY203" s="12"/>
      <c r="DF203" s="12"/>
    </row>
    <row r="204" spans="38:110" ht="16.5" customHeight="1">
      <c r="AL204" s="12"/>
      <c r="AS204" s="12"/>
      <c r="BA204" s="12"/>
      <c r="BI204" s="12"/>
      <c r="BP204" s="12"/>
      <c r="BW204" s="12"/>
      <c r="CD204" s="12"/>
      <c r="CK204" s="12"/>
      <c r="CR204" s="12"/>
      <c r="CY204" s="12"/>
      <c r="DF204" s="12"/>
    </row>
    <row r="205" spans="38:110" ht="16.5" customHeight="1">
      <c r="AL205" s="12"/>
      <c r="AS205" s="12"/>
      <c r="BA205" s="12"/>
      <c r="BI205" s="12"/>
      <c r="BP205" s="12"/>
      <c r="BW205" s="12"/>
      <c r="CD205" s="12"/>
      <c r="CK205" s="12"/>
      <c r="CR205" s="12"/>
      <c r="CY205" s="12"/>
      <c r="DF205" s="12"/>
    </row>
    <row r="206" spans="38:110" ht="16.5" customHeight="1">
      <c r="AL206" s="12"/>
      <c r="AS206" s="12"/>
      <c r="BA206" s="12"/>
      <c r="BI206" s="12"/>
      <c r="BP206" s="12"/>
      <c r="BW206" s="12"/>
      <c r="CD206" s="12"/>
      <c r="CK206" s="12"/>
      <c r="CR206" s="12"/>
      <c r="CY206" s="12"/>
      <c r="DF206" s="12"/>
    </row>
    <row r="207" spans="38:110" ht="16.5" customHeight="1">
      <c r="AL207" s="12"/>
      <c r="AS207" s="12"/>
      <c r="BA207" s="12"/>
      <c r="BI207" s="12"/>
      <c r="BP207" s="12"/>
      <c r="BW207" s="12"/>
      <c r="CD207" s="12"/>
      <c r="CK207" s="12"/>
      <c r="CR207" s="12"/>
      <c r="CY207" s="12"/>
      <c r="DF207" s="12"/>
    </row>
    <row r="208" spans="38:110" ht="16.5" customHeight="1">
      <c r="AL208" s="12"/>
      <c r="AS208" s="12"/>
      <c r="BA208" s="12"/>
      <c r="BI208" s="12"/>
      <c r="BP208" s="12"/>
      <c r="BW208" s="12"/>
      <c r="CD208" s="12"/>
      <c r="CK208" s="12"/>
      <c r="CR208" s="12"/>
      <c r="CY208" s="12"/>
      <c r="DF208" s="12"/>
    </row>
    <row r="209" spans="38:110" ht="16.5" customHeight="1">
      <c r="AL209" s="12"/>
      <c r="AS209" s="12"/>
      <c r="BA209" s="12"/>
      <c r="BI209" s="12"/>
      <c r="BP209" s="12"/>
      <c r="BW209" s="12"/>
      <c r="CD209" s="12"/>
      <c r="CK209" s="12"/>
      <c r="CR209" s="12"/>
      <c r="CY209" s="12"/>
      <c r="DF209" s="12"/>
    </row>
    <row r="210" spans="38:110" ht="16.5" customHeight="1">
      <c r="AL210" s="12"/>
      <c r="AS210" s="12"/>
      <c r="BA210" s="12"/>
      <c r="BI210" s="12"/>
      <c r="BP210" s="12"/>
      <c r="BW210" s="12"/>
      <c r="CD210" s="12"/>
      <c r="CK210" s="12"/>
      <c r="CR210" s="12"/>
      <c r="CY210" s="12"/>
      <c r="DF210" s="12"/>
    </row>
    <row r="211" spans="38:110" ht="16.5" customHeight="1">
      <c r="AL211" s="12"/>
      <c r="AS211" s="12"/>
      <c r="BA211" s="12"/>
      <c r="BI211" s="12"/>
      <c r="BP211" s="12"/>
      <c r="BW211" s="12"/>
      <c r="CD211" s="12"/>
      <c r="CK211" s="12"/>
      <c r="CR211" s="12"/>
      <c r="CY211" s="12"/>
      <c r="DF211" s="12"/>
    </row>
    <row r="212" spans="38:110" ht="16.5" customHeight="1">
      <c r="AL212" s="12"/>
      <c r="AS212" s="12"/>
      <c r="BA212" s="12"/>
      <c r="BI212" s="12"/>
      <c r="BP212" s="12"/>
      <c r="BW212" s="12"/>
      <c r="CD212" s="12"/>
      <c r="CK212" s="12"/>
      <c r="CR212" s="12"/>
      <c r="CY212" s="12"/>
      <c r="DF212" s="12"/>
    </row>
    <row r="213" spans="38:110" ht="16.5" customHeight="1">
      <c r="AL213" s="12"/>
      <c r="AS213" s="12"/>
      <c r="BA213" s="12"/>
      <c r="BI213" s="12"/>
      <c r="BP213" s="12"/>
      <c r="BW213" s="12"/>
      <c r="CD213" s="12"/>
      <c r="CK213" s="12"/>
      <c r="CR213" s="12"/>
      <c r="CY213" s="12"/>
      <c r="DF213" s="12"/>
    </row>
    <row r="214" spans="38:110" ht="16.5" customHeight="1">
      <c r="AL214" s="12"/>
      <c r="AS214" s="12"/>
      <c r="BA214" s="12"/>
      <c r="BI214" s="12"/>
      <c r="BP214" s="12"/>
      <c r="BW214" s="12"/>
      <c r="CD214" s="12"/>
      <c r="CK214" s="12"/>
      <c r="CR214" s="12"/>
      <c r="CY214" s="12"/>
      <c r="DF214" s="12"/>
    </row>
    <row r="215" spans="38:110" ht="16.5" customHeight="1">
      <c r="AL215" s="12"/>
      <c r="AS215" s="12"/>
      <c r="BA215" s="12"/>
      <c r="BI215" s="12"/>
      <c r="BP215" s="12"/>
      <c r="BW215" s="12"/>
      <c r="CD215" s="12"/>
      <c r="CK215" s="12"/>
      <c r="CR215" s="12"/>
      <c r="CY215" s="12"/>
      <c r="DF215" s="12"/>
    </row>
    <row r="216" spans="38:110" ht="16.5" customHeight="1">
      <c r="BA216" s="12"/>
      <c r="BI216" s="12"/>
      <c r="BP216" s="12"/>
      <c r="BW216" s="12"/>
      <c r="CD216" s="12"/>
    </row>
    <row r="217" spans="38:110" ht="16.5" customHeight="1">
      <c r="AL217" s="12"/>
      <c r="AS217" s="12"/>
      <c r="BA217" s="12"/>
      <c r="BI217" s="12"/>
      <c r="BP217" s="12"/>
      <c r="BW217" s="12"/>
      <c r="CD217" s="12"/>
      <c r="CK217" s="12"/>
      <c r="CR217" s="12"/>
      <c r="CY217" s="12"/>
      <c r="DF217" s="12"/>
    </row>
    <row r="218" spans="38:110" ht="16.5" customHeight="1">
      <c r="BA218" s="12"/>
      <c r="BI218" s="12"/>
      <c r="BP218" s="12"/>
      <c r="BW218" s="12"/>
      <c r="CD218" s="12"/>
    </row>
    <row r="219" spans="38:110" ht="16.5" customHeight="1">
      <c r="AL219" s="12"/>
      <c r="AS219" s="12"/>
      <c r="BA219" s="12"/>
      <c r="BI219" s="12"/>
      <c r="BP219" s="12"/>
      <c r="BW219" s="12"/>
      <c r="CD219" s="12"/>
      <c r="CK219" s="12"/>
      <c r="CR219" s="12"/>
      <c r="CY219" s="12"/>
      <c r="DF219" s="12"/>
    </row>
    <row r="220" spans="38:110" ht="16.5" customHeight="1">
      <c r="BA220" s="12"/>
      <c r="BI220" s="12"/>
      <c r="BP220" s="12"/>
      <c r="BW220" s="12"/>
      <c r="CD220" s="12"/>
    </row>
    <row r="221" spans="38:110" ht="16.5" customHeight="1">
      <c r="AL221" s="12"/>
      <c r="AS221" s="12"/>
      <c r="BA221" s="12"/>
      <c r="BI221" s="12"/>
      <c r="BP221" s="12"/>
      <c r="BW221" s="12"/>
      <c r="CD221" s="12"/>
      <c r="CK221" s="12"/>
      <c r="CR221" s="12"/>
      <c r="CY221" s="12"/>
      <c r="DF221" s="12"/>
    </row>
    <row r="222" spans="38:110" ht="16.5" customHeight="1">
      <c r="BA222" s="12"/>
      <c r="BI222" s="12"/>
      <c r="BP222" s="12"/>
      <c r="BW222" s="12"/>
      <c r="CD222" s="12"/>
    </row>
    <row r="223" spans="38:110" ht="16.5" customHeight="1">
      <c r="AL223" s="12"/>
      <c r="AS223" s="12"/>
      <c r="BA223" s="12"/>
      <c r="BI223" s="12"/>
      <c r="BP223" s="12"/>
      <c r="BW223" s="12"/>
      <c r="CD223" s="12"/>
      <c r="CK223" s="12"/>
      <c r="CR223" s="12"/>
      <c r="CY223" s="12"/>
      <c r="DF223" s="12"/>
    </row>
    <row r="224" spans="38:110" ht="16.5" customHeight="1">
      <c r="BA224" s="12"/>
      <c r="BI224" s="12"/>
      <c r="BP224" s="12"/>
      <c r="BW224" s="12"/>
      <c r="CD224" s="12"/>
    </row>
    <row r="225" spans="53:82" ht="16.5" customHeight="1">
      <c r="BA225" s="12"/>
      <c r="BI225" s="12"/>
      <c r="BP225" s="12"/>
      <c r="BW225" s="12"/>
      <c r="CD225" s="12"/>
    </row>
    <row r="226" spans="53:82" ht="16.5" customHeight="1">
      <c r="BA226" s="12"/>
      <c r="BI226" s="12"/>
      <c r="BP226" s="12"/>
      <c r="BW226" s="12"/>
      <c r="CD226" s="12"/>
    </row>
    <row r="227" spans="53:82" ht="16.5" customHeight="1">
      <c r="BA227" s="12"/>
      <c r="BI227" s="12"/>
      <c r="BP227" s="12"/>
      <c r="BW227" s="12"/>
      <c r="CD227" s="12"/>
    </row>
    <row r="228" spans="53:82" ht="16.5" customHeight="1">
      <c r="BA228" s="12"/>
      <c r="BI228" s="12"/>
      <c r="BP228" s="12"/>
      <c r="BW228" s="12"/>
      <c r="CD228" s="12"/>
    </row>
    <row r="229" spans="53:82" ht="16.5" customHeight="1">
      <c r="BA229" s="12"/>
      <c r="BI229" s="12"/>
      <c r="BP229" s="12"/>
      <c r="BW229" s="12"/>
      <c r="CD229" s="12"/>
    </row>
    <row r="230" spans="53:82" ht="16.5" customHeight="1">
      <c r="BA230" s="12"/>
      <c r="BI230" s="12"/>
      <c r="BP230" s="12"/>
      <c r="BW230" s="12"/>
      <c r="CD230" s="12"/>
    </row>
    <row r="231" spans="53:82" ht="16.5" customHeight="1">
      <c r="BA231" s="12"/>
      <c r="BI231" s="12"/>
      <c r="BP231" s="12"/>
      <c r="BW231" s="12"/>
      <c r="CD231" s="12"/>
    </row>
    <row r="232" spans="53:82" ht="16.5" customHeight="1">
      <c r="BA232" s="12"/>
      <c r="BI232" s="12"/>
      <c r="BP232" s="12"/>
      <c r="BW232" s="12"/>
      <c r="CD232" s="12"/>
    </row>
    <row r="233" spans="53:82" ht="16.5" customHeight="1">
      <c r="BA233" s="12"/>
      <c r="BI233" s="12"/>
      <c r="BP233" s="12"/>
      <c r="BW233" s="12"/>
      <c r="CD233" s="12"/>
    </row>
    <row r="234" spans="53:82" ht="16.5" customHeight="1">
      <c r="BA234" s="12"/>
      <c r="BI234" s="12"/>
      <c r="BP234" s="12"/>
      <c r="BW234" s="12"/>
      <c r="CD234" s="12"/>
    </row>
    <row r="235" spans="53:82" ht="16.5" customHeight="1">
      <c r="BA235" s="12"/>
      <c r="BI235" s="12"/>
      <c r="BP235" s="12"/>
      <c r="BW235" s="12"/>
      <c r="CD235" s="12"/>
    </row>
    <row r="236" spans="53:82" ht="16.5" customHeight="1">
      <c r="BA236" s="12"/>
      <c r="BI236" s="12"/>
      <c r="BP236" s="12"/>
      <c r="BW236" s="12"/>
      <c r="CD236" s="12"/>
    </row>
    <row r="237" spans="53:82" ht="16.5" customHeight="1">
      <c r="BA237" s="12"/>
      <c r="BI237" s="12"/>
      <c r="BP237" s="12"/>
      <c r="BW237" s="12"/>
      <c r="CD237" s="12"/>
    </row>
    <row r="238" spans="53:82" ht="16.5" customHeight="1">
      <c r="BA238" s="12"/>
      <c r="BI238" s="12"/>
      <c r="BP238" s="12"/>
      <c r="BW238" s="12"/>
      <c r="CD238" s="12"/>
    </row>
    <row r="239" spans="53:82" ht="16.5" customHeight="1">
      <c r="BA239" s="12"/>
      <c r="BI239" s="12"/>
      <c r="BP239" s="12"/>
      <c r="BW239" s="12"/>
      <c r="CD239" s="12"/>
    </row>
    <row r="240" spans="53:82" ht="16.5" customHeight="1">
      <c r="BA240" s="12"/>
      <c r="BI240" s="12"/>
      <c r="BP240" s="12"/>
      <c r="BW240" s="12"/>
      <c r="CD240" s="12"/>
    </row>
    <row r="241" spans="53:82" ht="16.5" customHeight="1">
      <c r="BA241" s="12"/>
      <c r="BI241" s="12"/>
      <c r="BP241" s="12"/>
      <c r="BW241" s="12"/>
      <c r="CD241" s="12"/>
    </row>
    <row r="242" spans="53:82" ht="16.5" customHeight="1">
      <c r="BA242" s="12"/>
      <c r="BI242" s="12"/>
      <c r="BP242" s="12"/>
      <c r="BW242" s="12"/>
      <c r="CD242" s="12"/>
    </row>
    <row r="243" spans="53:82" ht="16.5" customHeight="1">
      <c r="BA243" s="12"/>
      <c r="BI243" s="12"/>
      <c r="BP243" s="12"/>
      <c r="BW243" s="12"/>
      <c r="CD243" s="12"/>
    </row>
    <row r="244" spans="53:82" ht="16.5" customHeight="1">
      <c r="BA244" s="12"/>
      <c r="BI244" s="12"/>
      <c r="BP244" s="12"/>
      <c r="BW244" s="12"/>
      <c r="CD244" s="12"/>
    </row>
    <row r="245" spans="53:82" ht="16.5" customHeight="1">
      <c r="BA245" s="12"/>
      <c r="BI245" s="12"/>
      <c r="BP245" s="12"/>
      <c r="BW245" s="12"/>
      <c r="CD245" s="12"/>
    </row>
    <row r="246" spans="53:82" ht="16.5" customHeight="1">
      <c r="BA246" s="12"/>
      <c r="BI246" s="12"/>
      <c r="BP246" s="12"/>
      <c r="BW246" s="12"/>
      <c r="CD246" s="12"/>
    </row>
    <row r="247" spans="53:82" ht="16.5" customHeight="1">
      <c r="BA247" s="12"/>
      <c r="BI247" s="12"/>
      <c r="BP247" s="12"/>
      <c r="BW247" s="12"/>
      <c r="CD247" s="12"/>
    </row>
    <row r="248" spans="53:82" ht="16.5" customHeight="1">
      <c r="BA248" s="12"/>
      <c r="BI248" s="12"/>
      <c r="BP248" s="12"/>
      <c r="BW248" s="12"/>
      <c r="CD248" s="12"/>
    </row>
    <row r="249" spans="53:82" ht="16.5" customHeight="1">
      <c r="BA249" s="12"/>
      <c r="BI249" s="12"/>
      <c r="BP249" s="12"/>
      <c r="BW249" s="12"/>
      <c r="CD249" s="12"/>
    </row>
    <row r="250" spans="53:82" ht="16.5" customHeight="1">
      <c r="BA250" s="12"/>
      <c r="BI250" s="12"/>
      <c r="BP250" s="12"/>
      <c r="BW250" s="12"/>
      <c r="CD250" s="12"/>
    </row>
    <row r="251" spans="53:82" ht="16.5" customHeight="1">
      <c r="BA251" s="12"/>
      <c r="BI251" s="12"/>
      <c r="BP251" s="12"/>
      <c r="BW251" s="12"/>
      <c r="CD251" s="12"/>
    </row>
    <row r="252" spans="53:82" ht="16.5" customHeight="1">
      <c r="BA252" s="12"/>
      <c r="BI252" s="12"/>
      <c r="BP252" s="12"/>
      <c r="BW252" s="12"/>
      <c r="CD252" s="12"/>
    </row>
    <row r="253" spans="53:82" ht="16.5" customHeight="1">
      <c r="BA253" s="12"/>
      <c r="BI253" s="12"/>
      <c r="BP253" s="12"/>
      <c r="BW253" s="12"/>
      <c r="CD253" s="12"/>
    </row>
    <row r="254" spans="53:82" ht="16.5" customHeight="1">
      <c r="BA254" s="12"/>
      <c r="BI254" s="12"/>
      <c r="BP254" s="12"/>
      <c r="BW254" s="12"/>
      <c r="CD254" s="12"/>
    </row>
    <row r="255" spans="53:82" ht="16.5" customHeight="1">
      <c r="BA255" s="12"/>
      <c r="BI255" s="12"/>
      <c r="BP255" s="12"/>
      <c r="BW255" s="12"/>
      <c r="CD255" s="12"/>
    </row>
    <row r="256" spans="53:82" ht="16.5" customHeight="1">
      <c r="BA256" s="12"/>
      <c r="BI256" s="12"/>
      <c r="BP256" s="12"/>
      <c r="BW256" s="12"/>
      <c r="CD256" s="12"/>
    </row>
    <row r="257" spans="53:82" ht="16.5" customHeight="1">
      <c r="BA257" s="12"/>
      <c r="BI257" s="12"/>
      <c r="BP257" s="12"/>
      <c r="BW257" s="12"/>
      <c r="CD257" s="12"/>
    </row>
    <row r="258" spans="53:82" ht="16.5" customHeight="1">
      <c r="BA258" s="12"/>
      <c r="BI258" s="12"/>
      <c r="BP258" s="12"/>
      <c r="BW258" s="12"/>
      <c r="CD258" s="12"/>
    </row>
    <row r="259" spans="53:82" ht="16.5" customHeight="1">
      <c r="BA259" s="12"/>
      <c r="BI259" s="12"/>
      <c r="BP259" s="12"/>
      <c r="BW259" s="12"/>
      <c r="CD259" s="12"/>
    </row>
    <row r="260" spans="53:82" ht="16.5" customHeight="1">
      <c r="BA260" s="12"/>
      <c r="BI260" s="12"/>
      <c r="BP260" s="12"/>
      <c r="BW260" s="12"/>
      <c r="CD260" s="12"/>
    </row>
    <row r="261" spans="53:82" ht="16.5" customHeight="1">
      <c r="BA261" s="12"/>
      <c r="BI261" s="12"/>
      <c r="BP261" s="12"/>
      <c r="BW261" s="12"/>
      <c r="CD261" s="12"/>
    </row>
    <row r="262" spans="53:82" ht="16.5" customHeight="1">
      <c r="BA262" s="12"/>
      <c r="BI262" s="12"/>
      <c r="BP262" s="12"/>
      <c r="BW262" s="12"/>
      <c r="CD262" s="12"/>
    </row>
    <row r="263" spans="53:82" ht="16.5" customHeight="1">
      <c r="BA263" s="12"/>
      <c r="BI263" s="12"/>
      <c r="BP263" s="12"/>
      <c r="BW263" s="12"/>
      <c r="CD263" s="12"/>
    </row>
    <row r="264" spans="53:82" ht="16.5" customHeight="1">
      <c r="BA264" s="12"/>
      <c r="BI264" s="12"/>
      <c r="BP264" s="12"/>
      <c r="BW264" s="12"/>
      <c r="CD264" s="12"/>
    </row>
    <row r="265" spans="53:82" ht="16.5" customHeight="1">
      <c r="BA265" s="12"/>
      <c r="BI265" s="12"/>
      <c r="BP265" s="12"/>
      <c r="BW265" s="12"/>
      <c r="CD265" s="12"/>
    </row>
    <row r="266" spans="53:82" ht="16.5" customHeight="1">
      <c r="BA266" s="12"/>
      <c r="BI266" s="12"/>
      <c r="BP266" s="12"/>
      <c r="BW266" s="12"/>
      <c r="CD266" s="12"/>
    </row>
    <row r="267" spans="53:82" ht="16.5" customHeight="1">
      <c r="BA267" s="12"/>
      <c r="BI267" s="12"/>
      <c r="BP267" s="12"/>
      <c r="BW267" s="12"/>
      <c r="CD267" s="12"/>
    </row>
    <row r="268" spans="53:82" ht="16.5" customHeight="1">
      <c r="BA268" s="12"/>
      <c r="BI268" s="12"/>
      <c r="BP268" s="12"/>
      <c r="BW268" s="12"/>
      <c r="CD268" s="12"/>
    </row>
    <row r="269" spans="53:82" ht="16.5" customHeight="1">
      <c r="BA269" s="12"/>
      <c r="BI269" s="12"/>
      <c r="BP269" s="12"/>
      <c r="BW269" s="12"/>
      <c r="CD269" s="12"/>
    </row>
    <row r="270" spans="53:82" ht="16.5" customHeight="1">
      <c r="BA270" s="12"/>
      <c r="BI270" s="12"/>
      <c r="BP270" s="12"/>
      <c r="BW270" s="12"/>
      <c r="CD270" s="12"/>
    </row>
    <row r="271" spans="53:82" ht="16.5" customHeight="1">
      <c r="BA271" s="12"/>
      <c r="BI271" s="12"/>
      <c r="BP271" s="12"/>
      <c r="BW271" s="12"/>
      <c r="CD271" s="12"/>
    </row>
    <row r="272" spans="53:82" ht="16.5" customHeight="1">
      <c r="BA272" s="12"/>
      <c r="BI272" s="12"/>
      <c r="BP272" s="12"/>
      <c r="BW272" s="12"/>
      <c r="CD272" s="12"/>
    </row>
    <row r="273" spans="53:82" ht="16.5" customHeight="1">
      <c r="BA273" s="12"/>
      <c r="BI273" s="12"/>
      <c r="BP273" s="12"/>
      <c r="BW273" s="12"/>
      <c r="CD273" s="12"/>
    </row>
    <row r="274" spans="53:82" ht="16.5" customHeight="1">
      <c r="BA274" s="12"/>
      <c r="BI274" s="12"/>
      <c r="BP274" s="12"/>
      <c r="BW274" s="12"/>
      <c r="CD274" s="12"/>
    </row>
    <row r="275" spans="53:82" ht="16.5" customHeight="1">
      <c r="BA275" s="12"/>
      <c r="BI275" s="12"/>
      <c r="BP275" s="12"/>
      <c r="BW275" s="12"/>
      <c r="CD275" s="12"/>
    </row>
    <row r="276" spans="53:82" ht="16.5" customHeight="1">
      <c r="BA276" s="12"/>
      <c r="BI276" s="12"/>
      <c r="BP276" s="12"/>
      <c r="BW276" s="12"/>
      <c r="CD276" s="12"/>
    </row>
    <row r="277" spans="53:82" ht="16.5" customHeight="1">
      <c r="BA277" s="12"/>
      <c r="BI277" s="12"/>
      <c r="BP277" s="12"/>
      <c r="BW277" s="12"/>
      <c r="CD277" s="12"/>
    </row>
    <row r="278" spans="53:82" ht="16.5" customHeight="1">
      <c r="BA278" s="12"/>
      <c r="BI278" s="12"/>
      <c r="BP278" s="12"/>
      <c r="BW278" s="12"/>
      <c r="CD278" s="12"/>
    </row>
    <row r="279" spans="53:82" ht="16.5" customHeight="1">
      <c r="BA279" s="12"/>
      <c r="BI279" s="12"/>
      <c r="BP279" s="12"/>
      <c r="BW279" s="12"/>
      <c r="CD279" s="12"/>
    </row>
    <row r="280" spans="53:82" ht="16.5" customHeight="1">
      <c r="BA280" s="12"/>
      <c r="BI280" s="12"/>
      <c r="BP280" s="12"/>
      <c r="BW280" s="12"/>
      <c r="CD280" s="12"/>
    </row>
    <row r="281" spans="53:82" ht="16.5" customHeight="1">
      <c r="BA281" s="12"/>
      <c r="BI281" s="12"/>
      <c r="BP281" s="12"/>
      <c r="BW281" s="12"/>
      <c r="CD281" s="12"/>
    </row>
    <row r="282" spans="53:82" ht="16.5" customHeight="1">
      <c r="BA282" s="12"/>
      <c r="BI282" s="12"/>
      <c r="BP282" s="12"/>
      <c r="BW282" s="12"/>
      <c r="CD282" s="12"/>
    </row>
    <row r="283" spans="53:82" ht="16.5" customHeight="1">
      <c r="BA283" s="12"/>
      <c r="BI283" s="12"/>
      <c r="BP283" s="12"/>
      <c r="BW283" s="12"/>
      <c r="CD283" s="12"/>
    </row>
    <row r="284" spans="53:82" ht="16.5" customHeight="1">
      <c r="BA284" s="12"/>
      <c r="BI284" s="12"/>
      <c r="BP284" s="12"/>
      <c r="BW284" s="12"/>
      <c r="CD284" s="12"/>
    </row>
    <row r="285" spans="53:82" ht="16.5" customHeight="1">
      <c r="BA285" s="12"/>
      <c r="BI285" s="12"/>
      <c r="BP285" s="12"/>
      <c r="BW285" s="12"/>
      <c r="CD285" s="12"/>
    </row>
    <row r="286" spans="53:82" ht="16.5" customHeight="1">
      <c r="BA286" s="12"/>
      <c r="BI286" s="12"/>
      <c r="BP286" s="12"/>
      <c r="BW286" s="12"/>
      <c r="CD286" s="12"/>
    </row>
    <row r="287" spans="53:82" ht="16.5" customHeight="1">
      <c r="BA287" s="12"/>
      <c r="BI287" s="12"/>
      <c r="BP287" s="12"/>
      <c r="BW287" s="12"/>
      <c r="CD287" s="12"/>
    </row>
    <row r="289" spans="53:82" ht="16.5" customHeight="1">
      <c r="BA289" s="12"/>
      <c r="BI289" s="12"/>
      <c r="BP289" s="12"/>
      <c r="BW289" s="12"/>
      <c r="CD289" s="12"/>
    </row>
    <row r="291" spans="53:82" ht="16.5" customHeight="1">
      <c r="BA291" s="12"/>
      <c r="BI291" s="12"/>
      <c r="BP291" s="12"/>
      <c r="BW291" s="12"/>
      <c r="CD291" s="12"/>
    </row>
    <row r="293" spans="53:82" ht="16.5" customHeight="1">
      <c r="BA293" s="12"/>
      <c r="BI293" s="12"/>
      <c r="BP293" s="12"/>
      <c r="BW293" s="12"/>
      <c r="CD293" s="12"/>
    </row>
    <row r="295" spans="53:82" ht="16.5" customHeight="1">
      <c r="BA295" s="12"/>
      <c r="BI295" s="12"/>
      <c r="BP295" s="12"/>
      <c r="BW295" s="12"/>
      <c r="CD295" s="12"/>
    </row>
  </sheetData>
  <phoneticPr fontId="1"/>
  <conditionalFormatting sqref="BB10:BD10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0:AO33">
    <cfRule type="cellIs" dxfId="0" priority="3" operator="notEqual">
      <formula>1</formula>
    </cfRule>
  </conditionalFormatting>
  <conditionalFormatting sqref="AT10:AV33">
    <cfRule type="colorScale" priority="1">
      <colorScale>
        <cfvo type="min"/>
        <cfvo type="max"/>
        <color theme="1" tint="0.249977111117893"/>
        <color rgb="FFF8696B"/>
      </colorScale>
    </cfRule>
  </conditionalFormatting>
  <dataValidations count="2">
    <dataValidation type="list" allowBlank="1" showInputMessage="1" showErrorMessage="1" sqref="AE9" xr:uid="{CE30FE11-F6AB-4C99-B7E5-58A69CE547B4}">
      <formula1>$D$9:$D$24</formula1>
    </dataValidation>
    <dataValidation type="list" allowBlank="1" showInputMessage="1" showErrorMessage="1" sqref="AE10" xr:uid="{75FAD61D-83C1-4CBE-BC65-1063464ED2FD}">
      <formula1>"1,2,3,4"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288"/>
  <sheetViews>
    <sheetView workbookViewId="0">
      <selection activeCell="G30" sqref="G30"/>
    </sheetView>
  </sheetViews>
  <sheetFormatPr defaultColWidth="2.75" defaultRowHeight="16.5" customHeight="1"/>
  <cols>
    <col min="1" max="1" width="11.625" style="7" bestFit="1" customWidth="1"/>
    <col min="2" max="13" width="7.5" style="7" customWidth="1"/>
    <col min="14" max="16384" width="2.75" style="7"/>
  </cols>
  <sheetData>
    <row r="1" spans="1:4" ht="16.5" customHeight="1">
      <c r="B1" s="7" t="s">
        <v>0</v>
      </c>
      <c r="C1" s="7" t="s">
        <v>2</v>
      </c>
      <c r="D1" s="7" t="s">
        <v>4</v>
      </c>
    </row>
    <row r="2" spans="1:4" ht="16.5" customHeight="1">
      <c r="B2" s="7" t="s">
        <v>147</v>
      </c>
      <c r="C2" s="7" t="s">
        <v>147</v>
      </c>
      <c r="D2" s="7" t="s">
        <v>147</v>
      </c>
    </row>
    <row r="3" spans="1:4" ht="16.5" customHeight="1">
      <c r="A3" s="19" t="s">
        <v>108</v>
      </c>
      <c r="B3" s="7">
        <v>0</v>
      </c>
      <c r="C3" s="7">
        <v>0</v>
      </c>
      <c r="D3" s="7">
        <v>0</v>
      </c>
    </row>
    <row r="4" spans="1:4" ht="16.5" customHeight="1">
      <c r="A4" s="19" t="s">
        <v>110</v>
      </c>
      <c r="B4" s="7">
        <v>0</v>
      </c>
      <c r="C4" s="7">
        <v>0</v>
      </c>
      <c r="D4" s="7">
        <v>0</v>
      </c>
    </row>
    <row r="5" spans="1:4" ht="16.5" customHeight="1">
      <c r="A5" s="19" t="s">
        <v>112</v>
      </c>
      <c r="B5" s="7">
        <v>0</v>
      </c>
      <c r="C5" s="7">
        <v>0</v>
      </c>
      <c r="D5" s="7">
        <v>0</v>
      </c>
    </row>
    <row r="6" spans="1:4" ht="16.5" customHeight="1">
      <c r="A6" s="19" t="s">
        <v>114</v>
      </c>
      <c r="B6" s="7">
        <v>0</v>
      </c>
      <c r="C6" s="7">
        <v>0</v>
      </c>
      <c r="D6" s="7">
        <v>0</v>
      </c>
    </row>
    <row r="7" spans="1:4" ht="16.5" customHeight="1">
      <c r="A7" s="19" t="s">
        <v>116</v>
      </c>
      <c r="B7" s="7">
        <v>0</v>
      </c>
      <c r="C7" s="7">
        <v>0</v>
      </c>
      <c r="D7" s="7">
        <v>0</v>
      </c>
    </row>
    <row r="8" spans="1:4" ht="16.5" customHeight="1">
      <c r="A8" s="19" t="s">
        <v>118</v>
      </c>
      <c r="B8" s="7">
        <v>0</v>
      </c>
      <c r="C8" s="7">
        <v>0</v>
      </c>
      <c r="D8" s="7">
        <v>0</v>
      </c>
    </row>
    <row r="9" spans="1:4" ht="16.5" customHeight="1">
      <c r="A9" s="19" t="s">
        <v>120</v>
      </c>
      <c r="B9" s="7">
        <v>0</v>
      </c>
      <c r="C9" s="7">
        <v>0</v>
      </c>
      <c r="D9" s="7">
        <v>0</v>
      </c>
    </row>
    <row r="10" spans="1:4" ht="16.5" customHeight="1">
      <c r="A10" s="19" t="s">
        <v>122</v>
      </c>
      <c r="B10" s="7">
        <v>0.33</v>
      </c>
      <c r="C10" s="7">
        <v>0.33</v>
      </c>
      <c r="D10" s="7">
        <v>1</v>
      </c>
    </row>
    <row r="11" spans="1:4" ht="16.5" customHeight="1">
      <c r="A11" s="19" t="s">
        <v>124</v>
      </c>
      <c r="B11" s="7">
        <v>0.67</v>
      </c>
      <c r="C11" s="7">
        <v>0.67</v>
      </c>
      <c r="D11" s="7">
        <v>0</v>
      </c>
    </row>
    <row r="12" spans="1:4" ht="16.5" customHeight="1">
      <c r="A12" s="19" t="s">
        <v>146</v>
      </c>
      <c r="B12" s="7">
        <v>0</v>
      </c>
      <c r="C12" s="7">
        <v>0</v>
      </c>
      <c r="D12" s="7">
        <v>0</v>
      </c>
    </row>
    <row r="13" spans="1:4" ht="16.5" customHeight="1">
      <c r="A13" s="19" t="s">
        <v>6</v>
      </c>
      <c r="B13" s="7">
        <v>0</v>
      </c>
      <c r="C13" s="7">
        <v>0</v>
      </c>
      <c r="D13" s="7">
        <v>0</v>
      </c>
    </row>
    <row r="14" spans="1:4" ht="16.5" customHeight="1">
      <c r="A14" s="19" t="s">
        <v>7</v>
      </c>
      <c r="B14" s="7">
        <v>0</v>
      </c>
      <c r="C14" s="7">
        <v>0</v>
      </c>
      <c r="D14" s="7">
        <v>0</v>
      </c>
    </row>
    <row r="15" spans="1:4" ht="16.5" customHeight="1">
      <c r="A15" s="19" t="s">
        <v>8</v>
      </c>
      <c r="B15" s="7">
        <v>0</v>
      </c>
      <c r="C15" s="7">
        <v>0</v>
      </c>
      <c r="D15" s="7">
        <v>0</v>
      </c>
    </row>
    <row r="16" spans="1:4" ht="16.5" customHeight="1">
      <c r="A16" s="19" t="s">
        <v>9</v>
      </c>
      <c r="B16" s="7">
        <v>0</v>
      </c>
      <c r="C16" s="7">
        <v>0</v>
      </c>
      <c r="D16" s="7">
        <v>0</v>
      </c>
    </row>
    <row r="17" spans="1:4" ht="16.5" customHeight="1">
      <c r="A17" s="19" t="s">
        <v>10</v>
      </c>
      <c r="B17" s="7">
        <v>0</v>
      </c>
      <c r="C17" s="7">
        <v>0</v>
      </c>
      <c r="D17" s="7">
        <v>0</v>
      </c>
    </row>
    <row r="18" spans="1:4" ht="16.5" customHeight="1">
      <c r="A18" s="19" t="s">
        <v>11</v>
      </c>
      <c r="B18" s="7">
        <v>0</v>
      </c>
      <c r="C18" s="7">
        <v>0</v>
      </c>
      <c r="D18" s="7">
        <v>0</v>
      </c>
    </row>
    <row r="19" spans="1:4" ht="16.5" customHeight="1">
      <c r="A19" s="19" t="s">
        <v>12</v>
      </c>
      <c r="B19" s="7">
        <v>0</v>
      </c>
      <c r="C19" s="7">
        <v>0</v>
      </c>
      <c r="D19" s="7">
        <v>0</v>
      </c>
    </row>
    <row r="20" spans="1:4" ht="16.5" customHeight="1">
      <c r="A20" s="19" t="s">
        <v>13</v>
      </c>
      <c r="B20" s="7">
        <v>0</v>
      </c>
      <c r="C20" s="7">
        <v>0</v>
      </c>
      <c r="D20" s="7">
        <v>0</v>
      </c>
    </row>
    <row r="21" spans="1:4" ht="16.5" customHeight="1">
      <c r="A21" s="19" t="s">
        <v>14</v>
      </c>
      <c r="B21" s="7">
        <v>0</v>
      </c>
      <c r="C21" s="7">
        <v>0</v>
      </c>
      <c r="D21" s="7">
        <v>0</v>
      </c>
    </row>
    <row r="22" spans="1:4" ht="16.5" customHeight="1">
      <c r="A22" s="19" t="s">
        <v>15</v>
      </c>
      <c r="B22" s="7">
        <v>0</v>
      </c>
      <c r="C22" s="7">
        <v>0</v>
      </c>
      <c r="D22" s="7">
        <v>0</v>
      </c>
    </row>
    <row r="23" spans="1:4" ht="16.5" customHeight="1">
      <c r="A23" s="19" t="s">
        <v>16</v>
      </c>
      <c r="B23" s="7">
        <v>0</v>
      </c>
      <c r="C23" s="7">
        <v>0</v>
      </c>
      <c r="D23" s="7">
        <v>0</v>
      </c>
    </row>
    <row r="24" spans="1:4" ht="16.5" customHeight="1">
      <c r="A24" s="19" t="s">
        <v>17</v>
      </c>
      <c r="B24" s="7">
        <v>0</v>
      </c>
      <c r="C24" s="7">
        <v>0</v>
      </c>
      <c r="D24" s="7">
        <v>0</v>
      </c>
    </row>
    <row r="25" spans="1:4" ht="16.5" customHeight="1">
      <c r="A25" s="19" t="s">
        <v>18</v>
      </c>
      <c r="B25" s="7">
        <v>0</v>
      </c>
      <c r="C25" s="7">
        <v>0</v>
      </c>
      <c r="D25" s="7">
        <v>0</v>
      </c>
    </row>
    <row r="26" spans="1:4" ht="16.5" customHeight="1">
      <c r="A26" s="19" t="s">
        <v>127</v>
      </c>
      <c r="B26" s="7">
        <v>0</v>
      </c>
      <c r="C26" s="7">
        <v>0</v>
      </c>
      <c r="D26" s="7">
        <v>0</v>
      </c>
    </row>
    <row r="28" spans="1:4" ht="16.5" customHeight="1">
      <c r="A28" s="12"/>
    </row>
    <row r="30" spans="1:4" ht="16.5" customHeight="1">
      <c r="A30" s="12"/>
    </row>
    <row r="32" spans="1:4" ht="16.5" customHeight="1">
      <c r="A32" s="12"/>
    </row>
    <row r="34" spans="1:1" ht="16.5" customHeight="1">
      <c r="A34" s="12"/>
    </row>
    <row r="36" spans="1:1" ht="16.5" customHeight="1">
      <c r="A36" s="12"/>
    </row>
    <row r="38" spans="1:1" ht="16.5" customHeight="1">
      <c r="A38" s="12"/>
    </row>
    <row r="40" spans="1:1" ht="16.5" customHeight="1">
      <c r="A40" s="12"/>
    </row>
    <row r="42" spans="1:1" ht="16.5" customHeight="1">
      <c r="A42" s="12"/>
    </row>
    <row r="44" spans="1:1" ht="16.5" customHeight="1">
      <c r="A44" s="12"/>
    </row>
    <row r="46" spans="1:1" ht="16.5" customHeight="1">
      <c r="A46" s="12"/>
    </row>
    <row r="48" spans="1:1" ht="16.5" customHeight="1">
      <c r="A48" s="12"/>
    </row>
    <row r="50" spans="1:1" ht="16.5" customHeight="1">
      <c r="A50" s="12"/>
    </row>
    <row r="52" spans="1:1" ht="16.5" customHeight="1">
      <c r="A52" s="12"/>
    </row>
    <row r="54" spans="1:1" ht="16.5" customHeight="1">
      <c r="A54" s="12"/>
    </row>
    <row r="56" spans="1:1" ht="16.5" customHeight="1">
      <c r="A56" s="12"/>
    </row>
    <row r="58" spans="1:1" ht="16.5" customHeight="1">
      <c r="A58" s="12"/>
    </row>
    <row r="60" spans="1:1" ht="16.5" customHeight="1">
      <c r="A60" s="12"/>
    </row>
    <row r="62" spans="1:1" ht="16.5" customHeight="1">
      <c r="A62" s="12"/>
    </row>
    <row r="64" spans="1:1" ht="16.5" customHeight="1">
      <c r="A64" s="12"/>
    </row>
    <row r="66" spans="1:1" ht="16.5" customHeight="1">
      <c r="A66" s="12"/>
    </row>
    <row r="68" spans="1:1" ht="16.5" customHeight="1">
      <c r="A68" s="12"/>
    </row>
    <row r="70" spans="1:1" ht="16.5" customHeight="1">
      <c r="A70" s="12"/>
    </row>
    <row r="72" spans="1:1" ht="16.5" customHeight="1">
      <c r="A72" s="12"/>
    </row>
    <row r="74" spans="1:1" ht="16.5" customHeight="1">
      <c r="A74" s="12"/>
    </row>
    <row r="76" spans="1:1" ht="16.5" customHeight="1">
      <c r="A76" s="12"/>
    </row>
    <row r="78" spans="1:1" ht="16.5" customHeight="1">
      <c r="A78" s="12"/>
    </row>
    <row r="80" spans="1:1" ht="16.5" customHeight="1">
      <c r="A80" s="12"/>
    </row>
    <row r="82" spans="1:1" ht="16.5" customHeight="1">
      <c r="A82" s="12"/>
    </row>
    <row r="84" spans="1:1" ht="16.5" customHeight="1">
      <c r="A84" s="12"/>
    </row>
    <row r="86" spans="1:1" ht="16.5" customHeight="1">
      <c r="A86" s="12"/>
    </row>
    <row r="88" spans="1:1" ht="16.5" customHeight="1">
      <c r="A88" s="12"/>
    </row>
    <row r="90" spans="1:1" ht="16.5" customHeight="1">
      <c r="A90" s="12"/>
    </row>
    <row r="92" spans="1:1" ht="16.5" customHeight="1">
      <c r="A92" s="12"/>
    </row>
    <row r="94" spans="1:1" ht="16.5" customHeight="1">
      <c r="A94" s="12"/>
    </row>
    <row r="96" spans="1:1" ht="16.5" customHeight="1">
      <c r="A96" s="12"/>
    </row>
    <row r="98" spans="1:1" ht="16.5" customHeight="1">
      <c r="A98" s="12"/>
    </row>
    <row r="100" spans="1:1" ht="16.5" customHeight="1">
      <c r="A100" s="12"/>
    </row>
    <row r="102" spans="1:1" ht="16.5" customHeight="1">
      <c r="A102" s="12"/>
    </row>
    <row r="104" spans="1:1" ht="16.5" customHeight="1">
      <c r="A104" s="12"/>
    </row>
    <row r="106" spans="1:1" ht="16.5" customHeight="1">
      <c r="A106" s="12"/>
    </row>
    <row r="108" spans="1:1" ht="16.5" customHeight="1">
      <c r="A108" s="12"/>
    </row>
    <row r="110" spans="1:1" ht="16.5" customHeight="1">
      <c r="A110" s="12"/>
    </row>
    <row r="112" spans="1:1" ht="16.5" customHeight="1">
      <c r="A112" s="12"/>
    </row>
    <row r="114" spans="1:1" ht="16.5" customHeight="1">
      <c r="A114" s="12"/>
    </row>
    <row r="116" spans="1:1" ht="16.5" customHeight="1">
      <c r="A116" s="12"/>
    </row>
    <row r="118" spans="1:1" ht="16.5" customHeight="1">
      <c r="A118" s="12"/>
    </row>
    <row r="120" spans="1:1" ht="16.5" customHeight="1">
      <c r="A120" s="12"/>
    </row>
    <row r="122" spans="1:1" ht="16.5" customHeight="1">
      <c r="A122" s="12"/>
    </row>
    <row r="124" spans="1:1" ht="16.5" customHeight="1">
      <c r="A124" s="12"/>
    </row>
    <row r="126" spans="1:1" ht="16.5" customHeight="1">
      <c r="A126" s="12"/>
    </row>
    <row r="128" spans="1:1" ht="16.5" customHeight="1">
      <c r="A128" s="12"/>
    </row>
    <row r="130" spans="1:1" ht="16.5" customHeight="1">
      <c r="A130" s="12"/>
    </row>
    <row r="132" spans="1:1" ht="16.5" customHeight="1">
      <c r="A132" s="12"/>
    </row>
    <row r="134" spans="1:1" ht="16.5" customHeight="1">
      <c r="A134" s="12"/>
    </row>
    <row r="136" spans="1:1" ht="16.5" customHeight="1">
      <c r="A136" s="12"/>
    </row>
    <row r="138" spans="1:1" ht="16.5" customHeight="1">
      <c r="A138" s="12"/>
    </row>
    <row r="140" spans="1:1" ht="16.5" customHeight="1">
      <c r="A140" s="12"/>
    </row>
    <row r="142" spans="1:1" ht="16.5" customHeight="1">
      <c r="A142" s="12"/>
    </row>
    <row r="144" spans="1:1" ht="16.5" customHeight="1">
      <c r="A144" s="12"/>
    </row>
    <row r="146" spans="1:1" ht="16.5" customHeight="1">
      <c r="A146" s="12"/>
    </row>
    <row r="148" spans="1:1" ht="16.5" customHeight="1">
      <c r="A148" s="12"/>
    </row>
    <row r="150" spans="1:1" ht="16.5" customHeight="1">
      <c r="A150" s="12"/>
    </row>
    <row r="152" spans="1:1" ht="16.5" customHeight="1">
      <c r="A152" s="12"/>
    </row>
    <row r="154" spans="1:1" ht="16.5" customHeight="1">
      <c r="A154" s="12"/>
    </row>
    <row r="156" spans="1:1" ht="16.5" customHeight="1">
      <c r="A156" s="12"/>
    </row>
    <row r="158" spans="1:1" ht="16.5" customHeight="1">
      <c r="A158" s="12"/>
    </row>
    <row r="160" spans="1:1" ht="16.5" customHeight="1">
      <c r="A160" s="12"/>
    </row>
    <row r="162" spans="1:1" ht="16.5" customHeight="1">
      <c r="A162" s="12"/>
    </row>
    <row r="164" spans="1:1" ht="16.5" customHeight="1">
      <c r="A164" s="12"/>
    </row>
    <row r="166" spans="1:1" ht="16.5" customHeight="1">
      <c r="A166" s="12"/>
    </row>
    <row r="168" spans="1:1" ht="16.5" customHeight="1">
      <c r="A168" s="12"/>
    </row>
    <row r="170" spans="1:1" ht="16.5" customHeight="1">
      <c r="A170" s="12"/>
    </row>
    <row r="172" spans="1:1" ht="16.5" customHeight="1">
      <c r="A172" s="12"/>
    </row>
    <row r="174" spans="1:1" ht="16.5" customHeight="1">
      <c r="A174" s="12"/>
    </row>
    <row r="176" spans="1:1" ht="16.5" customHeight="1">
      <c r="A176" s="12"/>
    </row>
    <row r="178" spans="1:1" ht="16.5" customHeight="1">
      <c r="A178" s="12"/>
    </row>
    <row r="180" spans="1:1" ht="16.5" customHeight="1">
      <c r="A180" s="12"/>
    </row>
    <row r="182" spans="1:1" ht="16.5" customHeight="1">
      <c r="A182" s="12"/>
    </row>
    <row r="184" spans="1:1" ht="16.5" customHeight="1">
      <c r="A184" s="12"/>
    </row>
    <row r="186" spans="1:1" ht="16.5" customHeight="1">
      <c r="A186" s="12"/>
    </row>
    <row r="188" spans="1:1" ht="16.5" customHeight="1">
      <c r="A188" s="12"/>
    </row>
    <row r="190" spans="1:1" ht="16.5" customHeight="1">
      <c r="A190" s="12"/>
    </row>
    <row r="192" spans="1:1" ht="16.5" customHeight="1">
      <c r="A192" s="12"/>
    </row>
    <row r="194" spans="1:1" ht="16.5" customHeight="1">
      <c r="A194" s="12"/>
    </row>
    <row r="196" spans="1:1" ht="16.5" customHeight="1">
      <c r="A196" s="12"/>
    </row>
    <row r="198" spans="1:1" ht="16.5" customHeight="1">
      <c r="A198" s="12"/>
    </row>
    <row r="200" spans="1:1" ht="16.5" customHeight="1">
      <c r="A200" s="12"/>
    </row>
    <row r="202" spans="1:1" ht="16.5" customHeight="1">
      <c r="A202" s="12"/>
    </row>
    <row r="204" spans="1:1" ht="16.5" customHeight="1">
      <c r="A204" s="12"/>
    </row>
    <row r="206" spans="1:1" ht="16.5" customHeight="1">
      <c r="A206" s="12"/>
    </row>
    <row r="208" spans="1:1" ht="16.5" customHeight="1">
      <c r="A208" s="12"/>
    </row>
    <row r="210" spans="1:1" ht="16.5" customHeight="1">
      <c r="A210" s="12"/>
    </row>
    <row r="212" spans="1:1" ht="16.5" customHeight="1">
      <c r="A212" s="12"/>
    </row>
    <row r="214" spans="1:1" ht="16.5" customHeight="1">
      <c r="A214" s="12"/>
    </row>
    <row r="216" spans="1:1" ht="16.5" customHeight="1">
      <c r="A216" s="12"/>
    </row>
    <row r="218" spans="1:1" ht="16.5" customHeight="1">
      <c r="A218" s="12"/>
    </row>
    <row r="220" spans="1:1" ht="16.5" customHeight="1">
      <c r="A220" s="12"/>
    </row>
    <row r="222" spans="1:1" ht="16.5" customHeight="1">
      <c r="A222" s="12"/>
    </row>
    <row r="224" spans="1:1" ht="16.5" customHeight="1">
      <c r="A224" s="12"/>
    </row>
    <row r="226" spans="1:1" ht="16.5" customHeight="1">
      <c r="A226" s="12"/>
    </row>
    <row r="228" spans="1:1" ht="16.5" customHeight="1">
      <c r="A228" s="12"/>
    </row>
    <row r="230" spans="1:1" ht="16.5" customHeight="1">
      <c r="A230" s="12"/>
    </row>
    <row r="232" spans="1:1" ht="16.5" customHeight="1">
      <c r="A232" s="12"/>
    </row>
    <row r="234" spans="1:1" ht="16.5" customHeight="1">
      <c r="A234" s="12"/>
    </row>
    <row r="236" spans="1:1" ht="16.5" customHeight="1">
      <c r="A236" s="12"/>
    </row>
    <row r="238" spans="1:1" ht="16.5" customHeight="1">
      <c r="A238" s="12"/>
    </row>
    <row r="240" spans="1:1" ht="16.5" customHeight="1">
      <c r="A240" s="12"/>
    </row>
    <row r="242" spans="1:1" ht="16.5" customHeight="1">
      <c r="A242" s="12"/>
    </row>
    <row r="244" spans="1:1" ht="16.5" customHeight="1">
      <c r="A244" s="12"/>
    </row>
    <row r="246" spans="1:1" ht="16.5" customHeight="1">
      <c r="A246" s="12"/>
    </row>
    <row r="248" spans="1:1" ht="16.5" customHeight="1">
      <c r="A248" s="12"/>
    </row>
    <row r="250" spans="1:1" ht="16.5" customHeight="1">
      <c r="A250" s="12"/>
    </row>
    <row r="252" spans="1:1" ht="16.5" customHeight="1">
      <c r="A252" s="12"/>
    </row>
    <row r="254" spans="1:1" ht="16.5" customHeight="1">
      <c r="A254" s="12"/>
    </row>
    <row r="256" spans="1:1" ht="16.5" customHeight="1">
      <c r="A256" s="12"/>
    </row>
    <row r="258" spans="1:1" ht="16.5" customHeight="1">
      <c r="A258" s="12"/>
    </row>
    <row r="260" spans="1:1" ht="16.5" customHeight="1">
      <c r="A260" s="12"/>
    </row>
    <row r="262" spans="1:1" ht="16.5" customHeight="1">
      <c r="A262" s="12"/>
    </row>
    <row r="264" spans="1:1" ht="16.5" customHeight="1">
      <c r="A264" s="12"/>
    </row>
    <row r="266" spans="1:1" ht="16.5" customHeight="1">
      <c r="A266" s="12"/>
    </row>
    <row r="268" spans="1:1" ht="16.5" customHeight="1">
      <c r="A268" s="12"/>
    </row>
    <row r="270" spans="1:1" ht="16.5" customHeight="1">
      <c r="A270" s="12"/>
    </row>
    <row r="272" spans="1:1" ht="16.5" customHeight="1">
      <c r="A272" s="12"/>
    </row>
    <row r="274" spans="1:1" ht="16.5" customHeight="1">
      <c r="A274" s="12"/>
    </row>
    <row r="276" spans="1:1" ht="16.5" customHeight="1">
      <c r="A276" s="12"/>
    </row>
    <row r="278" spans="1:1" ht="16.5" customHeight="1">
      <c r="A278" s="12"/>
    </row>
    <row r="280" spans="1:1" ht="16.5" customHeight="1">
      <c r="A280" s="12"/>
    </row>
    <row r="282" spans="1:1" ht="16.5" customHeight="1">
      <c r="A282" s="12"/>
    </row>
    <row r="284" spans="1:1" ht="16.5" customHeight="1">
      <c r="A284" s="12"/>
    </row>
    <row r="286" spans="1:1" ht="16.5" customHeight="1">
      <c r="A286" s="12"/>
    </row>
    <row r="288" spans="1:1" ht="16.5" customHeight="1">
      <c r="A288" s="1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0EAD-7AB8-4BDA-8ADB-098ECDC8679E}">
  <sheetPr codeName="Sheet3">
    <tabColor rgb="FFFFFFCC"/>
  </sheetPr>
  <dimension ref="A1:R98"/>
  <sheetViews>
    <sheetView topLeftCell="A19" workbookViewId="0">
      <selection activeCell="C30" sqref="C30"/>
    </sheetView>
  </sheetViews>
  <sheetFormatPr defaultRowHeight="18.75"/>
  <sheetData>
    <row r="1" spans="1:18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23</v>
      </c>
      <c r="L1" s="26"/>
      <c r="M1" s="25" t="s">
        <v>24</v>
      </c>
      <c r="N1" s="26"/>
      <c r="O1" s="25" t="s">
        <v>25</v>
      </c>
      <c r="P1" s="26"/>
      <c r="Q1" s="25" t="s">
        <v>26</v>
      </c>
      <c r="R1" s="26"/>
    </row>
    <row r="2" spans="1:18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37</v>
      </c>
      <c r="L2" s="4" t="s">
        <v>38</v>
      </c>
      <c r="M2" s="4" t="s">
        <v>39</v>
      </c>
      <c r="N2" s="4" t="s">
        <v>40</v>
      </c>
      <c r="O2" s="4" t="s">
        <v>41</v>
      </c>
      <c r="P2" s="4" t="s">
        <v>42</v>
      </c>
      <c r="Q2" s="4" t="s">
        <v>43</v>
      </c>
      <c r="R2" s="4" t="s">
        <v>43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1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1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1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2</v>
      </c>
      <c r="L75" s="6">
        <v>2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2</v>
      </c>
      <c r="L76" s="6">
        <v>2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2</v>
      </c>
      <c r="L77" s="6">
        <v>2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2</v>
      </c>
      <c r="L78" s="6">
        <v>2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1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1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49885-B8DA-4663-9743-0BB3C2E0C7CD}">
  <sheetPr codeName="Sheet4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23</v>
      </c>
      <c r="L1" s="26"/>
      <c r="M1" s="25" t="s">
        <v>24</v>
      </c>
      <c r="N1" s="26"/>
      <c r="O1" s="25" t="s">
        <v>25</v>
      </c>
      <c r="P1" s="26"/>
      <c r="Q1" s="25" t="s">
        <v>26</v>
      </c>
      <c r="R1" s="26"/>
    </row>
    <row r="2" spans="1:18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37</v>
      </c>
      <c r="L2" s="4" t="s">
        <v>38</v>
      </c>
      <c r="M2" s="4" t="s">
        <v>39</v>
      </c>
      <c r="N2" s="4" t="s">
        <v>40</v>
      </c>
      <c r="O2" s="4" t="s">
        <v>41</v>
      </c>
      <c r="P2" s="4" t="s">
        <v>42</v>
      </c>
      <c r="Q2" s="4" t="s">
        <v>43</v>
      </c>
      <c r="R2" s="4" t="s">
        <v>43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0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1</v>
      </c>
      <c r="P37" s="6">
        <v>1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1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1</v>
      </c>
      <c r="N40" s="6">
        <v>1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1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1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2</v>
      </c>
      <c r="N43" s="6">
        <v>1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2</v>
      </c>
      <c r="N44" s="6">
        <v>1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1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1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1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1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1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1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2</v>
      </c>
      <c r="M67" s="6">
        <v>2</v>
      </c>
      <c r="N67" s="6">
        <v>1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2</v>
      </c>
      <c r="M68" s="6">
        <v>2</v>
      </c>
      <c r="N68" s="6">
        <v>1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2</v>
      </c>
      <c r="M69" s="6">
        <v>2</v>
      </c>
      <c r="N69" s="6">
        <v>1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2</v>
      </c>
      <c r="M70" s="6">
        <v>2</v>
      </c>
      <c r="N70" s="6">
        <v>1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2</v>
      </c>
      <c r="M71" s="6">
        <v>2</v>
      </c>
      <c r="N71" s="6">
        <v>1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2</v>
      </c>
      <c r="M72" s="6">
        <v>2</v>
      </c>
      <c r="N72" s="6">
        <v>1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2</v>
      </c>
      <c r="M73" s="6">
        <v>2</v>
      </c>
      <c r="N73" s="6">
        <v>1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2</v>
      </c>
      <c r="M74" s="6">
        <v>2</v>
      </c>
      <c r="N74" s="6">
        <v>1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2</v>
      </c>
      <c r="M75" s="6">
        <v>2</v>
      </c>
      <c r="N75" s="6">
        <v>1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2</v>
      </c>
      <c r="M76" s="6">
        <v>2</v>
      </c>
      <c r="N76" s="6">
        <v>1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2</v>
      </c>
      <c r="M77" s="6">
        <v>2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2</v>
      </c>
      <c r="M78" s="6">
        <v>2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1</v>
      </c>
      <c r="L79" s="6">
        <v>1</v>
      </c>
      <c r="M79" s="6">
        <v>2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1</v>
      </c>
      <c r="L80" s="6">
        <v>1</v>
      </c>
      <c r="M80" s="6">
        <v>2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1</v>
      </c>
      <c r="L81" s="6">
        <v>1</v>
      </c>
      <c r="M81" s="6">
        <v>2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2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2</v>
      </c>
      <c r="N83" s="6">
        <v>1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2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2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2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2</v>
      </c>
      <c r="N94" s="6">
        <v>1</v>
      </c>
      <c r="O94" s="6">
        <v>0</v>
      </c>
      <c r="P94" s="6">
        <v>1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0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D3382-BDAA-4C70-AAC3-E65BE6A70407}">
  <sheetPr codeName="Sheet5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23</v>
      </c>
      <c r="L1" s="26"/>
      <c r="M1" s="25" t="s">
        <v>24</v>
      </c>
      <c r="N1" s="26"/>
      <c r="O1" s="25" t="s">
        <v>25</v>
      </c>
      <c r="P1" s="26"/>
      <c r="Q1" s="25" t="s">
        <v>26</v>
      </c>
      <c r="R1" s="26"/>
    </row>
    <row r="2" spans="1:18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37</v>
      </c>
      <c r="L2" s="4" t="s">
        <v>38</v>
      </c>
      <c r="M2" s="4" t="s">
        <v>39</v>
      </c>
      <c r="N2" s="4" t="s">
        <v>40</v>
      </c>
      <c r="O2" s="4" t="s">
        <v>41</v>
      </c>
      <c r="P2" s="4" t="s">
        <v>42</v>
      </c>
      <c r="Q2" s="4" t="s">
        <v>43</v>
      </c>
      <c r="R2" s="4" t="s">
        <v>43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1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1</v>
      </c>
      <c r="P32" s="6">
        <v>0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1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0</v>
      </c>
      <c r="P36" s="6">
        <v>1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1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1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1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1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2</v>
      </c>
      <c r="M83" s="6">
        <v>2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2</v>
      </c>
      <c r="M84" s="6">
        <v>2</v>
      </c>
      <c r="N84" s="6">
        <v>0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2</v>
      </c>
      <c r="M85" s="6">
        <v>2</v>
      </c>
      <c r="N85" s="6">
        <v>0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2</v>
      </c>
      <c r="M86" s="6">
        <v>2</v>
      </c>
      <c r="N86" s="6">
        <v>0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2</v>
      </c>
      <c r="M87" s="6">
        <v>2</v>
      </c>
      <c r="N87" s="6">
        <v>0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2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2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1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1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1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21A2F-0F67-44D2-A568-F00BC4DAE916}">
  <sheetPr codeName="Sheet6">
    <tabColor rgb="FFFFFFCC"/>
  </sheetPr>
  <dimension ref="A1:P98"/>
  <sheetViews>
    <sheetView topLeftCell="A79" workbookViewId="0">
      <selection activeCell="P29" sqref="P29"/>
    </sheetView>
  </sheetViews>
  <sheetFormatPr defaultRowHeight="18.75"/>
  <sheetData>
    <row r="1" spans="1:16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24</v>
      </c>
      <c r="L1" s="26"/>
      <c r="M1" s="25" t="s">
        <v>25</v>
      </c>
      <c r="N1" s="26"/>
      <c r="O1" s="25" t="s">
        <v>26</v>
      </c>
      <c r="P1" s="26"/>
    </row>
    <row r="2" spans="1:16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39</v>
      </c>
      <c r="L2" s="4" t="s">
        <v>40</v>
      </c>
      <c r="M2" s="4" t="s">
        <v>41</v>
      </c>
      <c r="N2" s="4" t="s">
        <v>42</v>
      </c>
      <c r="O2" s="4" t="s">
        <v>43</v>
      </c>
      <c r="P2" s="4" t="s">
        <v>43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1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8253B-D613-4694-B64F-110C124015F6}">
  <sheetPr codeName="Sheet7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24</v>
      </c>
      <c r="L1" s="26"/>
      <c r="M1" s="25" t="s">
        <v>25</v>
      </c>
      <c r="N1" s="26"/>
      <c r="O1" s="25" t="s">
        <v>26</v>
      </c>
      <c r="P1" s="26"/>
    </row>
    <row r="2" spans="1:16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39</v>
      </c>
      <c r="L2" s="4" t="s">
        <v>40</v>
      </c>
      <c r="M2" s="4" t="s">
        <v>41</v>
      </c>
      <c r="N2" s="4" t="s">
        <v>42</v>
      </c>
      <c r="O2" s="4" t="s">
        <v>43</v>
      </c>
      <c r="P2" s="4" t="s">
        <v>43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0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1</v>
      </c>
      <c r="N37" s="6">
        <v>1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2</v>
      </c>
      <c r="L43" s="6">
        <v>1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2</v>
      </c>
      <c r="L44" s="6">
        <v>1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1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1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1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1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1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1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1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1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1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1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2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2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2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2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1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2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2</v>
      </c>
      <c r="L94" s="6">
        <v>1</v>
      </c>
      <c r="M94" s="6">
        <v>0</v>
      </c>
      <c r="N94" s="6">
        <v>1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0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DC499-E5E9-462F-AC6F-5DE4096DBA8D}">
  <sheetPr codeName="Sheet8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24</v>
      </c>
      <c r="L1" s="26"/>
      <c r="M1" s="25" t="s">
        <v>25</v>
      </c>
      <c r="N1" s="26"/>
      <c r="O1" s="25" t="s">
        <v>26</v>
      </c>
      <c r="P1" s="26"/>
    </row>
    <row r="2" spans="1:16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39</v>
      </c>
      <c r="L2" s="4" t="s">
        <v>40</v>
      </c>
      <c r="M2" s="4" t="s">
        <v>41</v>
      </c>
      <c r="N2" s="4" t="s">
        <v>42</v>
      </c>
      <c r="O2" s="4" t="s">
        <v>43</v>
      </c>
      <c r="P2" s="4" t="s">
        <v>43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  <c r="N32" s="6">
        <v>0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0</v>
      </c>
      <c r="N36" s="6">
        <v>1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0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0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0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0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B45A9-6D3D-4475-81ED-A25E9A296B1E}">
  <sheetPr codeName="Sheet9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D7E5-0443-423E-93AF-A1C2AAF9A427}">
  <sheetPr codeName="Sheet10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0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1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0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9C65-CB0E-4E29-9384-0817C4FD19B4}">
  <sheetPr codeName="Sheet11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F023E-0C2B-4FF9-A82E-02F66C3B7891}">
  <sheetPr codeName="Sheet12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296CE-0A9C-4B4E-8C9D-831935281A3A}">
  <sheetPr codeName="Sheet13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8212-EAD7-4910-A85D-87E48D4E8474}">
  <sheetPr codeName="Sheet14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19</v>
      </c>
      <c r="B1" s="25" t="s">
        <v>20</v>
      </c>
      <c r="C1" s="27"/>
      <c r="D1" s="27"/>
      <c r="E1" s="26"/>
      <c r="F1" s="25" t="s">
        <v>21</v>
      </c>
      <c r="G1" s="27"/>
      <c r="H1" s="27"/>
      <c r="I1" s="26"/>
      <c r="J1" s="2" t="s">
        <v>22</v>
      </c>
      <c r="K1" s="25" t="s">
        <v>25</v>
      </c>
      <c r="L1" s="26"/>
      <c r="M1" s="2" t="s">
        <v>44</v>
      </c>
    </row>
    <row r="2" spans="1:13" ht="19.5" thickBot="1">
      <c r="A2" s="3" t="s">
        <v>27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33</v>
      </c>
      <c r="H2" s="4" t="s">
        <v>34</v>
      </c>
      <c r="I2" s="4" t="s">
        <v>35</v>
      </c>
      <c r="J2" s="4" t="s">
        <v>36</v>
      </c>
      <c r="K2" s="4" t="s">
        <v>41</v>
      </c>
      <c r="L2" s="4" t="s">
        <v>42</v>
      </c>
      <c r="M2" s="4" t="s">
        <v>43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37</vt:i4>
      </vt:variant>
    </vt:vector>
  </HeadingPairs>
  <TitlesOfParts>
    <vt:vector size="51" baseType="lpstr">
      <vt:lpstr>UI</vt:lpstr>
      <vt:lpstr>buff</vt:lpstr>
      <vt:lpstr>DB_4平</vt:lpstr>
      <vt:lpstr>DB_4休在</vt:lpstr>
      <vt:lpstr>DB_4休外</vt:lpstr>
      <vt:lpstr>DB_3平</vt:lpstr>
      <vt:lpstr>DB_3休在</vt:lpstr>
      <vt:lpstr>DB_3休外</vt:lpstr>
      <vt:lpstr>DB_2平</vt:lpstr>
      <vt:lpstr>DB_2休在</vt:lpstr>
      <vt:lpstr>DB_2休外</vt:lpstr>
      <vt:lpstr>DB_1平</vt:lpstr>
      <vt:lpstr>DB_1休在</vt:lpstr>
      <vt:lpstr>DB_1休外</vt:lpstr>
      <vt:lpstr>_column_heijitsu_hourly_mode_0</vt:lpstr>
      <vt:lpstr>_column_heijitsu_hourly_mode_1</vt:lpstr>
      <vt:lpstr>_column_heijitsu_hourly_mode_2</vt:lpstr>
      <vt:lpstr>_column_heijitsu_hourly_mode_3</vt:lpstr>
      <vt:lpstr>_column_heijitsu_hourly_mode_counts_0</vt:lpstr>
      <vt:lpstr>_column_heijitsu_hourly_mode_counts_1</vt:lpstr>
      <vt:lpstr>_column_heijitsu_hourly_mode_counts_2</vt:lpstr>
      <vt:lpstr>_column_heijitsu_hourly_mode_counts_3</vt:lpstr>
      <vt:lpstr>_column_kyuujitsuGaishutsu_hourly_mode_0</vt:lpstr>
      <vt:lpstr>_column_kyuujitsuGaishutsu_hourly_mode_1</vt:lpstr>
      <vt:lpstr>_column_kyuujitsuGaishutsu_hourly_mode_2</vt:lpstr>
      <vt:lpstr>_column_kyuujitsuGaishutsu_hourly_mode_3</vt:lpstr>
      <vt:lpstr>_column_kyuujitsuGaishutsu_hourly_mode_counts_0</vt:lpstr>
      <vt:lpstr>_column_kyuujitsuGaishutsu_hourly_mode_counts_1</vt:lpstr>
      <vt:lpstr>_column_kyuujitsuGaishutsu_hourly_mode_counts_2</vt:lpstr>
      <vt:lpstr>_column_kyuujitsuGaishutsu_hourly_mode_counts_3</vt:lpstr>
      <vt:lpstr>_column_kyuujitsuZaitaku_hourly_mode_0</vt:lpstr>
      <vt:lpstr>_column_kyuujitsuZaitaku_hourly_mode_1</vt:lpstr>
      <vt:lpstr>_column_kyuujitsuZaitaku_hourly_mode_2</vt:lpstr>
      <vt:lpstr>_column_kyuujitsuZaitaku_hourly_mode_3</vt:lpstr>
      <vt:lpstr>_column_kyuujitsuZaitaku_hourly_mode_counts_0</vt:lpstr>
      <vt:lpstr>_column_kyuujitsuZaitaku_hourly_mode_counts_1</vt:lpstr>
      <vt:lpstr>_column_kyuujitsuZaitaku_hourly_mode_counts_2</vt:lpstr>
      <vt:lpstr>_column_kyuujitsuZaitaku_hourly_mode_counts_3</vt:lpstr>
      <vt:lpstr>_homeApplicance_ID</vt:lpstr>
      <vt:lpstr>_homeApplicance_Name</vt:lpstr>
      <vt:lpstr>_number_of_people</vt:lpstr>
      <vt:lpstr>_operationName_1</vt:lpstr>
      <vt:lpstr>_operationName_2</vt:lpstr>
      <vt:lpstr>_operationName_3</vt:lpstr>
      <vt:lpstr>_operationName_4</vt:lpstr>
      <vt:lpstr>_operationName_of_mode_0</vt:lpstr>
      <vt:lpstr>_operationName_of_mode_1</vt:lpstr>
      <vt:lpstr>_operationName_of_mode_2</vt:lpstr>
      <vt:lpstr>_operationName_of_mode_3</vt:lpstr>
      <vt:lpstr>_times_of_one_operation</vt:lpstr>
      <vt:lpstr>_type_of_Calc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mineno</dc:creator>
  <cp:lastModifiedBy>mineno</cp:lastModifiedBy>
  <dcterms:created xsi:type="dcterms:W3CDTF">2015-06-05T18:19:34Z</dcterms:created>
  <dcterms:modified xsi:type="dcterms:W3CDTF">2020-01-17T03:52:39Z</dcterms:modified>
</cp:coreProperties>
</file>